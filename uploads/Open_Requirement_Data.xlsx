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1e161c6d3317ee/Data/"/>
    </mc:Choice>
  </mc:AlternateContent>
  <xr:revisionPtr revIDLastSave="0" documentId="8_{C4627A65-B06F-4233-A37C-CC8C514747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2" i="1"/>
</calcChain>
</file>

<file path=xl/sharedStrings.xml><?xml version="1.0" encoding="utf-8"?>
<sst xmlns="http://schemas.openxmlformats.org/spreadsheetml/2006/main" count="2351" uniqueCount="646">
  <si>
    <t>Sno</t>
  </si>
  <si>
    <t>Account Name</t>
  </si>
  <si>
    <t>Customer name</t>
  </si>
  <si>
    <t>Project Name</t>
  </si>
  <si>
    <t>Qtr</t>
  </si>
  <si>
    <t>CP</t>
  </si>
  <si>
    <t>GDH</t>
  </si>
  <si>
    <t>DM</t>
  </si>
  <si>
    <t>Location</t>
  </si>
  <si>
    <t>MOT/Non MOT</t>
  </si>
  <si>
    <t>Skill Set</t>
  </si>
  <si>
    <t>Status</t>
  </si>
  <si>
    <t>Shared with Customer date</t>
  </si>
  <si>
    <t>Ageing</t>
  </si>
  <si>
    <t>CE Date</t>
  </si>
  <si>
    <t>CE Status</t>
  </si>
  <si>
    <t>Confirmed Date</t>
  </si>
  <si>
    <t>Closed Date</t>
  </si>
  <si>
    <t>Expected Onboarding date</t>
  </si>
  <si>
    <t>Expected Billing start date</t>
  </si>
  <si>
    <t>T&amp;M Contract/FP Contract</t>
  </si>
  <si>
    <t>Fulfillment Source</t>
  </si>
  <si>
    <t>Emp Id</t>
  </si>
  <si>
    <t>Name</t>
  </si>
  <si>
    <t>Remarks</t>
  </si>
  <si>
    <t>Proactive</t>
  </si>
  <si>
    <t>WON</t>
  </si>
  <si>
    <t>Won Name</t>
  </si>
  <si>
    <t>Allocation start date</t>
  </si>
  <si>
    <t>Allocation End date</t>
  </si>
  <si>
    <t>Release Date</t>
  </si>
  <si>
    <t>Closure Date</t>
  </si>
  <si>
    <t>Position Open Date</t>
  </si>
  <si>
    <t>Rejected Date</t>
  </si>
  <si>
    <t>Proposed date</t>
  </si>
  <si>
    <t>RGS</t>
  </si>
  <si>
    <t>Contract ID</t>
  </si>
  <si>
    <t>Billing start Date</t>
  </si>
  <si>
    <t>Additional uptick Revenue</t>
  </si>
  <si>
    <t>Bill Rate</t>
  </si>
  <si>
    <t>Currency</t>
  </si>
  <si>
    <t>Beacon</t>
  </si>
  <si>
    <t>Status1</t>
  </si>
  <si>
    <t>Comments</t>
  </si>
  <si>
    <t>Oct Days</t>
  </si>
  <si>
    <t>Nov Days</t>
  </si>
  <si>
    <t>Dec Days</t>
  </si>
  <si>
    <t>Oct Rev</t>
  </si>
  <si>
    <t>Nov Rev</t>
  </si>
  <si>
    <t>Dec Rev</t>
  </si>
  <si>
    <t>Q3'26 Rev</t>
  </si>
  <si>
    <t>UBS</t>
  </si>
  <si>
    <t>UBS Customer</t>
  </si>
  <si>
    <t>Project 14</t>
  </si>
  <si>
    <t>Q3</t>
  </si>
  <si>
    <t>Neha Rao</t>
  </si>
  <si>
    <t>Arun Patil</t>
  </si>
  <si>
    <t>Priya Menon</t>
  </si>
  <si>
    <t>Bangalore</t>
  </si>
  <si>
    <t>MOT</t>
  </si>
  <si>
    <t>Skill 9</t>
  </si>
  <si>
    <t>Open</t>
  </si>
  <si>
    <t>2025-06-7</t>
  </si>
  <si>
    <t>2025-010-26</t>
  </si>
  <si>
    <t>Confirmed</t>
  </si>
  <si>
    <t>FP</t>
  </si>
  <si>
    <t>Internal</t>
  </si>
  <si>
    <t>Name 1</t>
  </si>
  <si>
    <t>RGS1</t>
  </si>
  <si>
    <t>CID1</t>
  </si>
  <si>
    <t>2025-012-23</t>
  </si>
  <si>
    <t>INR</t>
  </si>
  <si>
    <t>Beacon1</t>
  </si>
  <si>
    <t>Project 10</t>
  </si>
  <si>
    <t>Rahul Sharma</t>
  </si>
  <si>
    <t>Sonia Mehta</t>
  </si>
  <si>
    <t>Pune</t>
  </si>
  <si>
    <t>Skill 5</t>
  </si>
  <si>
    <t>2025-08-27</t>
  </si>
  <si>
    <t>2025-010-28</t>
  </si>
  <si>
    <t>Name 2</t>
  </si>
  <si>
    <t>RGS2</t>
  </si>
  <si>
    <t>CID2</t>
  </si>
  <si>
    <t>2025-011-14</t>
  </si>
  <si>
    <t>EUR</t>
  </si>
  <si>
    <t>Beacon2</t>
  </si>
  <si>
    <t>Project 20</t>
  </si>
  <si>
    <t>Divya S</t>
  </si>
  <si>
    <t>John Lewis</t>
  </si>
  <si>
    <t>Skill 2</t>
  </si>
  <si>
    <t>2025-08-5</t>
  </si>
  <si>
    <t>2025-08-19</t>
  </si>
  <si>
    <t>T&amp;M</t>
  </si>
  <si>
    <t>Name 3</t>
  </si>
  <si>
    <t>RGS3</t>
  </si>
  <si>
    <t>CID3</t>
  </si>
  <si>
    <t>2025-08-24</t>
  </si>
  <si>
    <t>USD</t>
  </si>
  <si>
    <t>Beacon3</t>
  </si>
  <si>
    <t>Project 6</t>
  </si>
  <si>
    <t>Vikas N</t>
  </si>
  <si>
    <t>Michael Roy</t>
  </si>
  <si>
    <t>Non MOT</t>
  </si>
  <si>
    <t>2025-07-28</t>
  </si>
  <si>
    <t>2025-011-13</t>
  </si>
  <si>
    <t>Name 4</t>
  </si>
  <si>
    <t>RGS4</t>
  </si>
  <si>
    <t>CID4</t>
  </si>
  <si>
    <t>2025-010-6</t>
  </si>
  <si>
    <t>Beacon4</t>
  </si>
  <si>
    <t>Skill 3</t>
  </si>
  <si>
    <t>2025-07-22</t>
  </si>
  <si>
    <t>2025-012-17</t>
  </si>
  <si>
    <t>Name 5</t>
  </si>
  <si>
    <t>RGS5</t>
  </si>
  <si>
    <t>CID5</t>
  </si>
  <si>
    <t>2025-08-18</t>
  </si>
  <si>
    <t>Beacon5</t>
  </si>
  <si>
    <t>Project 9</t>
  </si>
  <si>
    <t>Hyderabad</t>
  </si>
  <si>
    <t>Skill 4</t>
  </si>
  <si>
    <t>2025-08-21</t>
  </si>
  <si>
    <t>Name 6</t>
  </si>
  <si>
    <t>RGS6</t>
  </si>
  <si>
    <t>CID6</t>
  </si>
  <si>
    <t>2025-09-12</t>
  </si>
  <si>
    <t>Beacon6</t>
  </si>
  <si>
    <t>Project 12</t>
  </si>
  <si>
    <t>London</t>
  </si>
  <si>
    <t>Skill 1</t>
  </si>
  <si>
    <t>2025-08-4</t>
  </si>
  <si>
    <t>2025-08-14</t>
  </si>
  <si>
    <t>Name 7</t>
  </si>
  <si>
    <t>RGS7</t>
  </si>
  <si>
    <t>CID7</t>
  </si>
  <si>
    <t>2025-010-8</t>
  </si>
  <si>
    <t>Beacon7</t>
  </si>
  <si>
    <t>Skill 7</t>
  </si>
  <si>
    <t>2025-08-8</t>
  </si>
  <si>
    <t>2025-011-24</t>
  </si>
  <si>
    <t>Name 8</t>
  </si>
  <si>
    <t>RGS8</t>
  </si>
  <si>
    <t>CID8</t>
  </si>
  <si>
    <t>2025-010-19</t>
  </si>
  <si>
    <t>Beacon8</t>
  </si>
  <si>
    <t>Project 15</t>
  </si>
  <si>
    <t>Proposed</t>
  </si>
  <si>
    <t>2025-06-22</t>
  </si>
  <si>
    <t>TBD</t>
  </si>
  <si>
    <t>CE dates awaited</t>
  </si>
  <si>
    <t>Name 9</t>
  </si>
  <si>
    <t>RGS9</t>
  </si>
  <si>
    <t>CID9</t>
  </si>
  <si>
    <t>2025-012-20</t>
  </si>
  <si>
    <t>Beacon9</t>
  </si>
  <si>
    <t>2025-07-21</t>
  </si>
  <si>
    <t>Name 10</t>
  </si>
  <si>
    <t>RGS10</t>
  </si>
  <si>
    <t>CID10</t>
  </si>
  <si>
    <t>2025-09-16</t>
  </si>
  <si>
    <t>Beacon10</t>
  </si>
  <si>
    <t>2025-07-3</t>
  </si>
  <si>
    <t>Name 11</t>
  </si>
  <si>
    <t>RGS11</t>
  </si>
  <si>
    <t>CID11</t>
  </si>
  <si>
    <t>2025-012-4</t>
  </si>
  <si>
    <t>Beacon11</t>
  </si>
  <si>
    <t>Project 2</t>
  </si>
  <si>
    <t>Ravi Kumar</t>
  </si>
  <si>
    <t>Zurich</t>
  </si>
  <si>
    <t>Skill 10</t>
  </si>
  <si>
    <t>2025-06-24</t>
  </si>
  <si>
    <t>Name 12</t>
  </si>
  <si>
    <t>RGS12</t>
  </si>
  <si>
    <t>CID12</t>
  </si>
  <si>
    <t>2025-010-27</t>
  </si>
  <si>
    <t>Beacon12</t>
  </si>
  <si>
    <t>Project 17</t>
  </si>
  <si>
    <t>2025-08-7</t>
  </si>
  <si>
    <t>2025-012-10</t>
  </si>
  <si>
    <t>Name 13</t>
  </si>
  <si>
    <t>RGS13</t>
  </si>
  <si>
    <t>CID13</t>
  </si>
  <si>
    <t>2025-010-22</t>
  </si>
  <si>
    <t>Beacon13</t>
  </si>
  <si>
    <t>Project 5</t>
  </si>
  <si>
    <t>2025-07-18</t>
  </si>
  <si>
    <t>2025-09-11</t>
  </si>
  <si>
    <t>Name 14</t>
  </si>
  <si>
    <t>RGS14</t>
  </si>
  <si>
    <t>CID14</t>
  </si>
  <si>
    <t>Beacon14</t>
  </si>
  <si>
    <t>Project 1</t>
  </si>
  <si>
    <t>Name 15</t>
  </si>
  <si>
    <t>RGS15</t>
  </si>
  <si>
    <t>CID15</t>
  </si>
  <si>
    <t>Beacon15</t>
  </si>
  <si>
    <t>2025-06-8</t>
  </si>
  <si>
    <t>Name 16</t>
  </si>
  <si>
    <t>RGS16</t>
  </si>
  <si>
    <t>CID16</t>
  </si>
  <si>
    <t>Beacon16</t>
  </si>
  <si>
    <t>Project 4</t>
  </si>
  <si>
    <t>2025-08-3</t>
  </si>
  <si>
    <t>2025-08-23</t>
  </si>
  <si>
    <t>Name 17</t>
  </si>
  <si>
    <t>RGS17</t>
  </si>
  <si>
    <t>CID17</t>
  </si>
  <si>
    <t>2025-08-17</t>
  </si>
  <si>
    <t>Beacon17</t>
  </si>
  <si>
    <t>Project 8</t>
  </si>
  <si>
    <t>Skill 6</t>
  </si>
  <si>
    <t>Name 18</t>
  </si>
  <si>
    <t>RGS18</t>
  </si>
  <si>
    <t>CID18</t>
  </si>
  <si>
    <t>Beacon18</t>
  </si>
  <si>
    <t>Name 19</t>
  </si>
  <si>
    <t>RGS19</t>
  </si>
  <si>
    <t>CID19</t>
  </si>
  <si>
    <t>2025-010-12</t>
  </si>
  <si>
    <t>Beacon19</t>
  </si>
  <si>
    <t>Name 20</t>
  </si>
  <si>
    <t>RGS20</t>
  </si>
  <si>
    <t>CID20</t>
  </si>
  <si>
    <t>2025-010-18</t>
  </si>
  <si>
    <t>Beacon20</t>
  </si>
  <si>
    <t>Skill 8</t>
  </si>
  <si>
    <t>2025-06-18</t>
  </si>
  <si>
    <t>2025-012-2</t>
  </si>
  <si>
    <t>Name 21</t>
  </si>
  <si>
    <t>RGS21</t>
  </si>
  <si>
    <t>CID21</t>
  </si>
  <si>
    <t>Beacon21</t>
  </si>
  <si>
    <t>2025-07-14</t>
  </si>
  <si>
    <t>Name 22</t>
  </si>
  <si>
    <t>RGS22</t>
  </si>
  <si>
    <t>CID22</t>
  </si>
  <si>
    <t>Beacon22</t>
  </si>
  <si>
    <t>Project 19</t>
  </si>
  <si>
    <t>2025-07-6</t>
  </si>
  <si>
    <t>2025-08-12</t>
  </si>
  <si>
    <t>Name 23</t>
  </si>
  <si>
    <t>RGS23</t>
  </si>
  <si>
    <t>CID23</t>
  </si>
  <si>
    <t>2025-012-9</t>
  </si>
  <si>
    <t>Beacon23</t>
  </si>
  <si>
    <t>Project 16</t>
  </si>
  <si>
    <t>2025-06-4</t>
  </si>
  <si>
    <t>Name 24</t>
  </si>
  <si>
    <t>RGS24</t>
  </si>
  <si>
    <t>CID24</t>
  </si>
  <si>
    <t>Beacon24</t>
  </si>
  <si>
    <t>2025-07-17</t>
  </si>
  <si>
    <t>2025-09-28</t>
  </si>
  <si>
    <t>Name 25</t>
  </si>
  <si>
    <t>RGS25</t>
  </si>
  <si>
    <t>CID25</t>
  </si>
  <si>
    <t>2025-08-16</t>
  </si>
  <si>
    <t>Beacon25</t>
  </si>
  <si>
    <t>2025-06-2</t>
  </si>
  <si>
    <t>2025-09-26</t>
  </si>
  <si>
    <t>Name 26</t>
  </si>
  <si>
    <t>RGS26</t>
  </si>
  <si>
    <t>CID26</t>
  </si>
  <si>
    <t>2025-011-21</t>
  </si>
  <si>
    <t>Beacon26</t>
  </si>
  <si>
    <t>2025-06-5</t>
  </si>
  <si>
    <t>2025-012-12</t>
  </si>
  <si>
    <t>Name 27</t>
  </si>
  <si>
    <t>RGS27</t>
  </si>
  <si>
    <t>CID27</t>
  </si>
  <si>
    <t>Beacon27</t>
  </si>
  <si>
    <t>Name 28</t>
  </si>
  <si>
    <t>RGS28</t>
  </si>
  <si>
    <t>CID28</t>
  </si>
  <si>
    <t>Beacon28</t>
  </si>
  <si>
    <t>2025-07-1</t>
  </si>
  <si>
    <t>2025-010-9</t>
  </si>
  <si>
    <t>Name 29</t>
  </si>
  <si>
    <t>RGS29</t>
  </si>
  <si>
    <t>CID29</t>
  </si>
  <si>
    <t>2025-011-22</t>
  </si>
  <si>
    <t>Beacon29</t>
  </si>
  <si>
    <t>2025-06-9</t>
  </si>
  <si>
    <t>Name 30</t>
  </si>
  <si>
    <t>RGS30</t>
  </si>
  <si>
    <t>CID30</t>
  </si>
  <si>
    <t>2025-09-19</t>
  </si>
  <si>
    <t>Beacon30</t>
  </si>
  <si>
    <t>2025-08-9</t>
  </si>
  <si>
    <t>Name 31</t>
  </si>
  <si>
    <t>RGS31</t>
  </si>
  <si>
    <t>CID31</t>
  </si>
  <si>
    <t>2025-011-9</t>
  </si>
  <si>
    <t>Beacon31</t>
  </si>
  <si>
    <t>Name 32</t>
  </si>
  <si>
    <t>RGS32</t>
  </si>
  <si>
    <t>CID32</t>
  </si>
  <si>
    <t>2025-08-2</t>
  </si>
  <si>
    <t>Beacon32</t>
  </si>
  <si>
    <t>Name 33</t>
  </si>
  <si>
    <t>RGS33</t>
  </si>
  <si>
    <t>CID33</t>
  </si>
  <si>
    <t>2025-012-1</t>
  </si>
  <si>
    <t>Beacon33</t>
  </si>
  <si>
    <t>2025-06-16</t>
  </si>
  <si>
    <t>2025-09-13</t>
  </si>
  <si>
    <t>Name 34</t>
  </si>
  <si>
    <t>RGS34</t>
  </si>
  <si>
    <t>CID34</t>
  </si>
  <si>
    <t>2025-09-25</t>
  </si>
  <si>
    <t>Beacon34</t>
  </si>
  <si>
    <t>2025-06-12</t>
  </si>
  <si>
    <t>Name 35</t>
  </si>
  <si>
    <t>RGS35</t>
  </si>
  <si>
    <t>CID35</t>
  </si>
  <si>
    <t>2025-010-13</t>
  </si>
  <si>
    <t>Beacon35</t>
  </si>
  <si>
    <t>2025-07-10</t>
  </si>
  <si>
    <t>2025-010-5</t>
  </si>
  <si>
    <t>Name 36</t>
  </si>
  <si>
    <t>RGS36</t>
  </si>
  <si>
    <t>CID36</t>
  </si>
  <si>
    <t>2025-011-10</t>
  </si>
  <si>
    <t>Beacon36</t>
  </si>
  <si>
    <t>Project 7</t>
  </si>
  <si>
    <t>2025-09-6</t>
  </si>
  <si>
    <t>Name 37</t>
  </si>
  <si>
    <t>RGS37</t>
  </si>
  <si>
    <t>CID37</t>
  </si>
  <si>
    <t>2025-010-4</t>
  </si>
  <si>
    <t>Beacon37</t>
  </si>
  <si>
    <t>Project 3</t>
  </si>
  <si>
    <t>2025-011-28</t>
  </si>
  <si>
    <t>Name 38</t>
  </si>
  <si>
    <t>RGS38</t>
  </si>
  <si>
    <t>CID38</t>
  </si>
  <si>
    <t>Beacon38</t>
  </si>
  <si>
    <t>2025-06-3</t>
  </si>
  <si>
    <t>2025-012-7</t>
  </si>
  <si>
    <t>Name 39</t>
  </si>
  <si>
    <t>RGS39</t>
  </si>
  <si>
    <t>CID39</t>
  </si>
  <si>
    <t>Beacon39</t>
  </si>
  <si>
    <t>2025-08-22</t>
  </si>
  <si>
    <t>Name 40</t>
  </si>
  <si>
    <t>RGS40</t>
  </si>
  <si>
    <t>CID40</t>
  </si>
  <si>
    <t>2025-011-7</t>
  </si>
  <si>
    <t>Beacon40</t>
  </si>
  <si>
    <t>Name 41</t>
  </si>
  <si>
    <t>RGS41</t>
  </si>
  <si>
    <t>CID41</t>
  </si>
  <si>
    <t>2025-011-12</t>
  </si>
  <si>
    <t>Beacon41</t>
  </si>
  <si>
    <t>Name 42</t>
  </si>
  <si>
    <t>RGS42</t>
  </si>
  <si>
    <t>CID42</t>
  </si>
  <si>
    <t>2025-08-13</t>
  </si>
  <si>
    <t>Beacon42</t>
  </si>
  <si>
    <t>Name 43</t>
  </si>
  <si>
    <t>RGS43</t>
  </si>
  <si>
    <t>CID43</t>
  </si>
  <si>
    <t>2025-011-11</t>
  </si>
  <si>
    <t>Beacon43</t>
  </si>
  <si>
    <t>Name 44</t>
  </si>
  <si>
    <t>RGS44</t>
  </si>
  <si>
    <t>CID44</t>
  </si>
  <si>
    <t>Beacon44</t>
  </si>
  <si>
    <t>Name 45</t>
  </si>
  <si>
    <t>RGS45</t>
  </si>
  <si>
    <t>CID45</t>
  </si>
  <si>
    <t>2025-012-28</t>
  </si>
  <si>
    <t>Beacon45</t>
  </si>
  <si>
    <t>Project 13</t>
  </si>
  <si>
    <t>2025-07-15</t>
  </si>
  <si>
    <t>Name 46</t>
  </si>
  <si>
    <t>RGS46</t>
  </si>
  <si>
    <t>CID46</t>
  </si>
  <si>
    <t>2025-011-1</t>
  </si>
  <si>
    <t>Beacon46</t>
  </si>
  <si>
    <t>Project 11</t>
  </si>
  <si>
    <t>Name 47</t>
  </si>
  <si>
    <t>RGS47</t>
  </si>
  <si>
    <t>CID47</t>
  </si>
  <si>
    <t>2025-011-23</t>
  </si>
  <si>
    <t>Beacon47</t>
  </si>
  <si>
    <t>Name 48</t>
  </si>
  <si>
    <t>RGS48</t>
  </si>
  <si>
    <t>CID48</t>
  </si>
  <si>
    <t>Beacon48</t>
  </si>
  <si>
    <t>Name 49</t>
  </si>
  <si>
    <t>RGS49</t>
  </si>
  <si>
    <t>CID49</t>
  </si>
  <si>
    <t>2025-012-5</t>
  </si>
  <si>
    <t>Beacon49</t>
  </si>
  <si>
    <t>2025-07-4</t>
  </si>
  <si>
    <t>Name 50</t>
  </si>
  <si>
    <t>RGS50</t>
  </si>
  <si>
    <t>CID50</t>
  </si>
  <si>
    <t>Beacon50</t>
  </si>
  <si>
    <t>2025-08-26</t>
  </si>
  <si>
    <t>Name 51</t>
  </si>
  <si>
    <t>RGS51</t>
  </si>
  <si>
    <t>CID51</t>
  </si>
  <si>
    <t>Beacon51</t>
  </si>
  <si>
    <t>Name 52</t>
  </si>
  <si>
    <t>RGS52</t>
  </si>
  <si>
    <t>CID52</t>
  </si>
  <si>
    <t>2025-08-10</t>
  </si>
  <si>
    <t>Beacon52</t>
  </si>
  <si>
    <t>Name 53</t>
  </si>
  <si>
    <t>RGS53</t>
  </si>
  <si>
    <t>CID53</t>
  </si>
  <si>
    <t>2025-010-7</t>
  </si>
  <si>
    <t>Beacon53</t>
  </si>
  <si>
    <t>Name 54</t>
  </si>
  <si>
    <t>RGS54</t>
  </si>
  <si>
    <t>CID54</t>
  </si>
  <si>
    <t>Beacon54</t>
  </si>
  <si>
    <t>Name 55</t>
  </si>
  <si>
    <t>RGS55</t>
  </si>
  <si>
    <t>CID55</t>
  </si>
  <si>
    <t>2025-010-10</t>
  </si>
  <si>
    <t>Beacon55</t>
  </si>
  <si>
    <t>2025-07-13</t>
  </si>
  <si>
    <t>2025-09-1</t>
  </si>
  <si>
    <t>Name 56</t>
  </si>
  <si>
    <t>RGS56</t>
  </si>
  <si>
    <t>CID56</t>
  </si>
  <si>
    <t>Beacon56</t>
  </si>
  <si>
    <t>Name 57</t>
  </si>
  <si>
    <t>RGS57</t>
  </si>
  <si>
    <t>CID57</t>
  </si>
  <si>
    <t>2025-010-3</t>
  </si>
  <si>
    <t>Beacon57</t>
  </si>
  <si>
    <t>Project 18</t>
  </si>
  <si>
    <t>Name 58</t>
  </si>
  <si>
    <t>RGS58</t>
  </si>
  <si>
    <t>CID58</t>
  </si>
  <si>
    <t>Beacon58</t>
  </si>
  <si>
    <t>Name 59</t>
  </si>
  <si>
    <t>RGS59</t>
  </si>
  <si>
    <t>CID59</t>
  </si>
  <si>
    <t>2025-011-20</t>
  </si>
  <si>
    <t>Beacon59</t>
  </si>
  <si>
    <t>Name 60</t>
  </si>
  <si>
    <t>RGS60</t>
  </si>
  <si>
    <t>CID60</t>
  </si>
  <si>
    <t>Beacon60</t>
  </si>
  <si>
    <t>2025-07-19</t>
  </si>
  <si>
    <t>Name 61</t>
  </si>
  <si>
    <t>RGS61</t>
  </si>
  <si>
    <t>CID61</t>
  </si>
  <si>
    <t>2025-010-1</t>
  </si>
  <si>
    <t>Beacon61</t>
  </si>
  <si>
    <t>2025-012-18</t>
  </si>
  <si>
    <t>Name 62</t>
  </si>
  <si>
    <t>RGS62</t>
  </si>
  <si>
    <t>CID62</t>
  </si>
  <si>
    <t>2025-012-19</t>
  </si>
  <si>
    <t>Beacon62</t>
  </si>
  <si>
    <t>2025-010-20</t>
  </si>
  <si>
    <t>Name 63</t>
  </si>
  <si>
    <t>RGS63</t>
  </si>
  <si>
    <t>CID63</t>
  </si>
  <si>
    <t>2025-011-26</t>
  </si>
  <si>
    <t>Beacon63</t>
  </si>
  <si>
    <t>2025-07-2</t>
  </si>
  <si>
    <t>Name 64</t>
  </si>
  <si>
    <t>RGS64</t>
  </si>
  <si>
    <t>CID64</t>
  </si>
  <si>
    <t>Beacon64</t>
  </si>
  <si>
    <t>Name 65</t>
  </si>
  <si>
    <t>RGS65</t>
  </si>
  <si>
    <t>CID65</t>
  </si>
  <si>
    <t>Beacon65</t>
  </si>
  <si>
    <t>Name 66</t>
  </si>
  <si>
    <t>RGS66</t>
  </si>
  <si>
    <t>CID66</t>
  </si>
  <si>
    <t>Beacon66</t>
  </si>
  <si>
    <t>Name 67</t>
  </si>
  <si>
    <t>RGS67</t>
  </si>
  <si>
    <t>CID67</t>
  </si>
  <si>
    <t>Beacon67</t>
  </si>
  <si>
    <t>Name 68</t>
  </si>
  <si>
    <t>RGS68</t>
  </si>
  <si>
    <t>CID68</t>
  </si>
  <si>
    <t>Beacon68</t>
  </si>
  <si>
    <t>2025-08-25</t>
  </si>
  <si>
    <t>2025-09-2</t>
  </si>
  <si>
    <t>Name 69</t>
  </si>
  <si>
    <t>RGS69</t>
  </si>
  <si>
    <t>CID69</t>
  </si>
  <si>
    <t>Beacon69</t>
  </si>
  <si>
    <t>2025-08-11</t>
  </si>
  <si>
    <t>2025-08-20</t>
  </si>
  <si>
    <t>Name 70</t>
  </si>
  <si>
    <t>RGS70</t>
  </si>
  <si>
    <t>CID70</t>
  </si>
  <si>
    <t>2025-012-21</t>
  </si>
  <si>
    <t>Beacon70</t>
  </si>
  <si>
    <t>Name 71</t>
  </si>
  <si>
    <t>RGS71</t>
  </si>
  <si>
    <t>CID71</t>
  </si>
  <si>
    <t>2025-012-27</t>
  </si>
  <si>
    <t>Beacon71</t>
  </si>
  <si>
    <t>2025-06-10</t>
  </si>
  <si>
    <t>2025-010-24</t>
  </si>
  <si>
    <t>Name 72</t>
  </si>
  <si>
    <t>RGS72</t>
  </si>
  <si>
    <t>CID72</t>
  </si>
  <si>
    <t>Beacon72</t>
  </si>
  <si>
    <t>2025-06-17</t>
  </si>
  <si>
    <t>2025-09-7</t>
  </si>
  <si>
    <t>Name 73</t>
  </si>
  <si>
    <t>RGS73</t>
  </si>
  <si>
    <t>CID73</t>
  </si>
  <si>
    <t>2025-09-10</t>
  </si>
  <si>
    <t>Beacon73</t>
  </si>
  <si>
    <t>2025-06-11</t>
  </si>
  <si>
    <t>Name 74</t>
  </si>
  <si>
    <t>RGS74</t>
  </si>
  <si>
    <t>CID74</t>
  </si>
  <si>
    <t>Beacon74</t>
  </si>
  <si>
    <t>2025-09-23</t>
  </si>
  <si>
    <t>Name 75</t>
  </si>
  <si>
    <t>RGS75</t>
  </si>
  <si>
    <t>CID75</t>
  </si>
  <si>
    <t>Beacon75</t>
  </si>
  <si>
    <t>Name 76</t>
  </si>
  <si>
    <t>RGS76</t>
  </si>
  <si>
    <t>CID76</t>
  </si>
  <si>
    <t>Beacon76</t>
  </si>
  <si>
    <t>Name 77</t>
  </si>
  <si>
    <t>RGS77</t>
  </si>
  <si>
    <t>CID77</t>
  </si>
  <si>
    <t>Beacon77</t>
  </si>
  <si>
    <t>2025-07-16</t>
  </si>
  <si>
    <t>Name 78</t>
  </si>
  <si>
    <t>RGS78</t>
  </si>
  <si>
    <t>CID78</t>
  </si>
  <si>
    <t>Beacon78</t>
  </si>
  <si>
    <t>Name 79</t>
  </si>
  <si>
    <t>RGS79</t>
  </si>
  <si>
    <t>CID79</t>
  </si>
  <si>
    <t>2025-012-3</t>
  </si>
  <si>
    <t>Beacon79</t>
  </si>
  <si>
    <t>2025-08-1</t>
  </si>
  <si>
    <t>Name 80</t>
  </si>
  <si>
    <t>RGS80</t>
  </si>
  <si>
    <t>CID80</t>
  </si>
  <si>
    <t>2025-011-2</t>
  </si>
  <si>
    <t>Beacon80</t>
  </si>
  <si>
    <t>Name 81</t>
  </si>
  <si>
    <t>RGS81</t>
  </si>
  <si>
    <t>CID81</t>
  </si>
  <si>
    <t>Beacon81</t>
  </si>
  <si>
    <t>Name 82</t>
  </si>
  <si>
    <t>RGS82</t>
  </si>
  <si>
    <t>CID82</t>
  </si>
  <si>
    <t>2025-08-28</t>
  </si>
  <si>
    <t>Beacon82</t>
  </si>
  <si>
    <t>2025-06-25</t>
  </si>
  <si>
    <t>Name 83</t>
  </si>
  <si>
    <t>RGS83</t>
  </si>
  <si>
    <t>CID83</t>
  </si>
  <si>
    <t>2025-010-21</t>
  </si>
  <si>
    <t>Beacon83</t>
  </si>
  <si>
    <t>Name 84</t>
  </si>
  <si>
    <t>RGS84</t>
  </si>
  <si>
    <t>CID84</t>
  </si>
  <si>
    <t>Beacon84</t>
  </si>
  <si>
    <t>2025-08-15</t>
  </si>
  <si>
    <t>Name 85</t>
  </si>
  <si>
    <t>RGS85</t>
  </si>
  <si>
    <t>CID85</t>
  </si>
  <si>
    <t>Beacon85</t>
  </si>
  <si>
    <t>2025-07-20</t>
  </si>
  <si>
    <t>Name 86</t>
  </si>
  <si>
    <t>RGS86</t>
  </si>
  <si>
    <t>CID86</t>
  </si>
  <si>
    <t>Beacon86</t>
  </si>
  <si>
    <t>Name 87</t>
  </si>
  <si>
    <t>RGS87</t>
  </si>
  <si>
    <t>CID87</t>
  </si>
  <si>
    <t>Beacon87</t>
  </si>
  <si>
    <t>Name 88</t>
  </si>
  <si>
    <t>RGS88</t>
  </si>
  <si>
    <t>CID88</t>
  </si>
  <si>
    <t>Beacon88</t>
  </si>
  <si>
    <t>2025-06-14</t>
  </si>
  <si>
    <t>Name 89</t>
  </si>
  <si>
    <t>RGS89</t>
  </si>
  <si>
    <t>CID89</t>
  </si>
  <si>
    <t>Beacon89</t>
  </si>
  <si>
    <t>Name 90</t>
  </si>
  <si>
    <t>RGS90</t>
  </si>
  <si>
    <t>CID90</t>
  </si>
  <si>
    <t>Beacon90</t>
  </si>
  <si>
    <t>Name 91</t>
  </si>
  <si>
    <t>RGS91</t>
  </si>
  <si>
    <t>CID91</t>
  </si>
  <si>
    <t>Beacon91</t>
  </si>
  <si>
    <t>Name 92</t>
  </si>
  <si>
    <t>RGS92</t>
  </si>
  <si>
    <t>CID92</t>
  </si>
  <si>
    <t>Beacon92</t>
  </si>
  <si>
    <t>2025-09-22</t>
  </si>
  <si>
    <t>Name 93</t>
  </si>
  <si>
    <t>RGS93</t>
  </si>
  <si>
    <t>CID93</t>
  </si>
  <si>
    <t>Beacon93</t>
  </si>
  <si>
    <t>Name 94</t>
  </si>
  <si>
    <t>RGS94</t>
  </si>
  <si>
    <t>CID94</t>
  </si>
  <si>
    <t>2025-09-18</t>
  </si>
  <si>
    <t>Beacon94</t>
  </si>
  <si>
    <t>Name 95</t>
  </si>
  <si>
    <t>RGS95</t>
  </si>
  <si>
    <t>CID95</t>
  </si>
  <si>
    <t>Beacon95</t>
  </si>
  <si>
    <t>2025-07-5</t>
  </si>
  <si>
    <t>Name 96</t>
  </si>
  <si>
    <t>RGS96</t>
  </si>
  <si>
    <t>CID96</t>
  </si>
  <si>
    <t>2025-08-6</t>
  </si>
  <si>
    <t>Beacon96</t>
  </si>
  <si>
    <t>2025-06-1</t>
  </si>
  <si>
    <t>Name 97</t>
  </si>
  <si>
    <t>RGS97</t>
  </si>
  <si>
    <t>CID97</t>
  </si>
  <si>
    <t>2025-09-20</t>
  </si>
  <si>
    <t>Beacon97</t>
  </si>
  <si>
    <t>Name 98</t>
  </si>
  <si>
    <t>RGS98</t>
  </si>
  <si>
    <t>CID98</t>
  </si>
  <si>
    <t>Beacon98</t>
  </si>
  <si>
    <t>Name 99</t>
  </si>
  <si>
    <t>RGS99</t>
  </si>
  <si>
    <t>CID99</t>
  </si>
  <si>
    <t>Beacon99</t>
  </si>
  <si>
    <t>Name 100</t>
  </si>
  <si>
    <t>RGS100</t>
  </si>
  <si>
    <t>CID100</t>
  </si>
  <si>
    <t>Beacon100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</si>
</sst>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"/>
  <sheetViews>
    <sheetView tabSelected="1" topLeftCell="AL84" workbookViewId="0">
      <selection activeCell="AY2" sqref="AY2:AY101"/>
    </sheetView>
  </sheetViews>
  <sheetFormatPr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O2" t="s">
        <v>63</v>
      </c>
      <c r="P2" t="s">
        <v>64</v>
      </c>
      <c r="U2" t="s">
        <v>65</v>
      </c>
      <c r="V2" t="s">
        <v>66</v>
      </c>
      <c r="X2" t="s">
        <v>67</v>
      </c>
      <c r="Y2" t="s">
        <v>24</v>
      </c>
      <c r="AI2" t="s">
        <v>68</v>
      </c>
      <c r="AJ2" t="s">
        <v>69</v>
      </c>
      <c r="AK2" t="s">
        <v>70</v>
      </c>
      <c r="AL2">
        <v>1.05</v>
      </c>
      <c r="AM2">
        <v>61</v>
      </c>
      <c r="AN2" t="s">
        <v>71</v>
      </c>
      <c r="AO2" t="s">
        <v>72</v>
      </c>
      <c r="AR2">
        <v>30</v>
      </c>
      <c r="AS2">
        <v>20</v>
      </c>
      <c r="AT2">
        <v>15</v>
      </c>
      <c r="AU2">
        <v>0.49</v>
      </c>
      <c r="AV2">
        <v>0.43</v>
      </c>
      <c r="AW2">
        <v>0.55000000000000004</v>
      </c>
      <c r="AX2">
        <v>1.47</v>
      </c>
      <c r="AY2">
        <f>AV2+AW2+AX2</f>
        <v>2.4500000000000002</v>
      </c>
    </row>
    <row r="3" spans="1:51" x14ac:dyDescent="0.35">
      <c r="A3">
        <v>2</v>
      </c>
      <c r="B3" t="s">
        <v>51</v>
      </c>
      <c r="C3" t="s">
        <v>52</v>
      </c>
      <c r="D3" t="s">
        <v>73</v>
      </c>
      <c r="E3" t="s">
        <v>54</v>
      </c>
      <c r="F3" t="s">
        <v>74</v>
      </c>
      <c r="G3" t="s">
        <v>56</v>
      </c>
      <c r="H3" t="s">
        <v>75</v>
      </c>
      <c r="I3" t="s">
        <v>76</v>
      </c>
      <c r="J3" t="s">
        <v>59</v>
      </c>
      <c r="K3" t="s">
        <v>77</v>
      </c>
      <c r="L3" t="s">
        <v>61</v>
      </c>
      <c r="M3" t="s">
        <v>78</v>
      </c>
      <c r="O3" t="s">
        <v>79</v>
      </c>
      <c r="P3" t="s">
        <v>64</v>
      </c>
      <c r="U3" t="s">
        <v>65</v>
      </c>
      <c r="V3" t="s">
        <v>66</v>
      </c>
      <c r="X3" t="s">
        <v>80</v>
      </c>
      <c r="Y3" t="s">
        <v>24</v>
      </c>
      <c r="AI3" t="s">
        <v>81</v>
      </c>
      <c r="AJ3" t="s">
        <v>82</v>
      </c>
      <c r="AK3" t="s">
        <v>83</v>
      </c>
      <c r="AL3">
        <v>1.45</v>
      </c>
      <c r="AM3">
        <v>57</v>
      </c>
      <c r="AN3" t="s">
        <v>84</v>
      </c>
      <c r="AO3" t="s">
        <v>85</v>
      </c>
      <c r="AR3">
        <v>8</v>
      </c>
      <c r="AS3">
        <v>3</v>
      </c>
      <c r="AT3">
        <v>29</v>
      </c>
      <c r="AU3">
        <v>0.53</v>
      </c>
      <c r="AV3">
        <v>0.67</v>
      </c>
      <c r="AW3">
        <v>0.12</v>
      </c>
      <c r="AX3">
        <v>1.32</v>
      </c>
      <c r="AY3">
        <f t="shared" ref="AY3:AY66" si="0">AV3+AW3+AX3</f>
        <v>2.1100000000000003</v>
      </c>
    </row>
    <row r="4" spans="1:51" x14ac:dyDescent="0.35">
      <c r="A4">
        <v>3</v>
      </c>
      <c r="B4" t="s">
        <v>51</v>
      </c>
      <c r="C4" t="s">
        <v>52</v>
      </c>
      <c r="D4" t="s">
        <v>86</v>
      </c>
      <c r="E4" t="s">
        <v>54</v>
      </c>
      <c r="F4" t="s">
        <v>55</v>
      </c>
      <c r="G4" t="s">
        <v>87</v>
      </c>
      <c r="H4" t="s">
        <v>88</v>
      </c>
      <c r="I4" t="s">
        <v>76</v>
      </c>
      <c r="J4" t="s">
        <v>59</v>
      </c>
      <c r="K4" t="s">
        <v>89</v>
      </c>
      <c r="L4" t="s">
        <v>61</v>
      </c>
      <c r="M4" t="s">
        <v>90</v>
      </c>
      <c r="O4" t="s">
        <v>91</v>
      </c>
      <c r="P4" t="s">
        <v>64</v>
      </c>
      <c r="U4" t="s">
        <v>92</v>
      </c>
      <c r="V4" t="s">
        <v>66</v>
      </c>
      <c r="X4" t="s">
        <v>93</v>
      </c>
      <c r="Y4" t="s">
        <v>24</v>
      </c>
      <c r="AI4" t="s">
        <v>94</v>
      </c>
      <c r="AJ4" t="s">
        <v>95</v>
      </c>
      <c r="AK4" t="s">
        <v>96</v>
      </c>
      <c r="AL4">
        <v>1.48</v>
      </c>
      <c r="AM4">
        <v>74</v>
      </c>
      <c r="AN4" t="s">
        <v>97</v>
      </c>
      <c r="AO4" t="s">
        <v>98</v>
      </c>
      <c r="AR4">
        <v>26</v>
      </c>
      <c r="AS4">
        <v>5</v>
      </c>
      <c r="AT4">
        <v>12</v>
      </c>
      <c r="AU4">
        <v>0.53</v>
      </c>
      <c r="AV4">
        <v>1</v>
      </c>
      <c r="AW4">
        <v>0.89</v>
      </c>
      <c r="AX4">
        <v>2.42</v>
      </c>
      <c r="AY4">
        <f t="shared" si="0"/>
        <v>4.3100000000000005</v>
      </c>
    </row>
    <row r="5" spans="1:51" x14ac:dyDescent="0.35">
      <c r="A5">
        <v>4</v>
      </c>
      <c r="B5" t="s">
        <v>51</v>
      </c>
      <c r="C5" t="s">
        <v>52</v>
      </c>
      <c r="D5" t="s">
        <v>99</v>
      </c>
      <c r="E5" t="s">
        <v>54</v>
      </c>
      <c r="F5" t="s">
        <v>100</v>
      </c>
      <c r="G5" t="s">
        <v>101</v>
      </c>
      <c r="H5" t="s">
        <v>57</v>
      </c>
      <c r="I5" t="s">
        <v>76</v>
      </c>
      <c r="J5" t="s">
        <v>102</v>
      </c>
      <c r="K5" t="s">
        <v>77</v>
      </c>
      <c r="L5" t="s">
        <v>61</v>
      </c>
      <c r="M5" t="s">
        <v>103</v>
      </c>
      <c r="O5" t="s">
        <v>104</v>
      </c>
      <c r="P5" t="s">
        <v>64</v>
      </c>
      <c r="U5" t="s">
        <v>65</v>
      </c>
      <c r="V5" t="s">
        <v>66</v>
      </c>
      <c r="X5" t="s">
        <v>105</v>
      </c>
      <c r="Y5" t="s">
        <v>24</v>
      </c>
      <c r="AI5" t="s">
        <v>106</v>
      </c>
      <c r="AJ5" t="s">
        <v>107</v>
      </c>
      <c r="AK5" t="s">
        <v>108</v>
      </c>
      <c r="AL5">
        <v>0.73</v>
      </c>
      <c r="AM5">
        <v>49</v>
      </c>
      <c r="AN5" t="s">
        <v>71</v>
      </c>
      <c r="AO5" t="s">
        <v>109</v>
      </c>
      <c r="AR5">
        <v>10</v>
      </c>
      <c r="AS5">
        <v>11</v>
      </c>
      <c r="AT5">
        <v>25</v>
      </c>
      <c r="AU5">
        <v>0.64</v>
      </c>
      <c r="AV5">
        <v>0.51</v>
      </c>
      <c r="AW5">
        <v>0.2</v>
      </c>
      <c r="AX5">
        <v>1.35</v>
      </c>
      <c r="AY5">
        <f t="shared" si="0"/>
        <v>2.06</v>
      </c>
    </row>
    <row r="6" spans="1:51" x14ac:dyDescent="0.35">
      <c r="A6">
        <v>5</v>
      </c>
      <c r="B6" t="s">
        <v>51</v>
      </c>
      <c r="C6" t="s">
        <v>52</v>
      </c>
      <c r="D6" t="s">
        <v>86</v>
      </c>
      <c r="E6" t="s">
        <v>54</v>
      </c>
      <c r="F6" t="s">
        <v>74</v>
      </c>
      <c r="G6" t="s">
        <v>56</v>
      </c>
      <c r="H6" t="s">
        <v>88</v>
      </c>
      <c r="I6" t="s">
        <v>76</v>
      </c>
      <c r="J6" t="s">
        <v>59</v>
      </c>
      <c r="K6" t="s">
        <v>110</v>
      </c>
      <c r="L6" t="s">
        <v>61</v>
      </c>
      <c r="M6" t="s">
        <v>111</v>
      </c>
      <c r="O6" t="s">
        <v>112</v>
      </c>
      <c r="P6" t="s">
        <v>64</v>
      </c>
      <c r="U6" t="s">
        <v>65</v>
      </c>
      <c r="V6" t="s">
        <v>66</v>
      </c>
      <c r="X6" t="s">
        <v>113</v>
      </c>
      <c r="Y6" t="s">
        <v>24</v>
      </c>
      <c r="AI6" t="s">
        <v>114</v>
      </c>
      <c r="AJ6" t="s">
        <v>115</v>
      </c>
      <c r="AK6" t="s">
        <v>116</v>
      </c>
      <c r="AL6">
        <v>0.13</v>
      </c>
      <c r="AM6">
        <v>39</v>
      </c>
      <c r="AN6" t="s">
        <v>97</v>
      </c>
      <c r="AO6" t="s">
        <v>117</v>
      </c>
      <c r="AR6">
        <v>4</v>
      </c>
      <c r="AS6">
        <v>11</v>
      </c>
      <c r="AT6">
        <v>27</v>
      </c>
      <c r="AU6">
        <v>0.94</v>
      </c>
      <c r="AV6">
        <v>0.68</v>
      </c>
      <c r="AW6">
        <v>0.73</v>
      </c>
      <c r="AX6">
        <v>2.35</v>
      </c>
      <c r="AY6">
        <f t="shared" si="0"/>
        <v>3.7600000000000002</v>
      </c>
    </row>
    <row r="7" spans="1:51" x14ac:dyDescent="0.35">
      <c r="A7">
        <v>6</v>
      </c>
      <c r="B7" t="s">
        <v>51</v>
      </c>
      <c r="C7" t="s">
        <v>52</v>
      </c>
      <c r="D7" t="s">
        <v>118</v>
      </c>
      <c r="E7" t="s">
        <v>54</v>
      </c>
      <c r="F7" t="s">
        <v>100</v>
      </c>
      <c r="G7" t="s">
        <v>101</v>
      </c>
      <c r="H7" t="s">
        <v>75</v>
      </c>
      <c r="I7" t="s">
        <v>119</v>
      </c>
      <c r="J7" t="s">
        <v>102</v>
      </c>
      <c r="K7" t="s">
        <v>120</v>
      </c>
      <c r="L7" t="s">
        <v>61</v>
      </c>
      <c r="M7" t="s">
        <v>91</v>
      </c>
      <c r="O7" t="s">
        <v>121</v>
      </c>
      <c r="P7" t="s">
        <v>64</v>
      </c>
      <c r="U7" t="s">
        <v>65</v>
      </c>
      <c r="V7" t="s">
        <v>66</v>
      </c>
      <c r="X7" t="s">
        <v>122</v>
      </c>
      <c r="Y7" t="s">
        <v>24</v>
      </c>
      <c r="AI7" t="s">
        <v>123</v>
      </c>
      <c r="AJ7" t="s">
        <v>124</v>
      </c>
      <c r="AK7" t="s">
        <v>125</v>
      </c>
      <c r="AL7">
        <v>0.86</v>
      </c>
      <c r="AM7">
        <v>41</v>
      </c>
      <c r="AN7" t="s">
        <v>84</v>
      </c>
      <c r="AO7" t="s">
        <v>126</v>
      </c>
      <c r="AR7">
        <v>11</v>
      </c>
      <c r="AS7">
        <v>25</v>
      </c>
      <c r="AT7">
        <v>3</v>
      </c>
      <c r="AU7">
        <v>0.82</v>
      </c>
      <c r="AV7">
        <v>0.66</v>
      </c>
      <c r="AW7">
        <v>0.38</v>
      </c>
      <c r="AX7">
        <v>1.86</v>
      </c>
      <c r="AY7">
        <f t="shared" si="0"/>
        <v>2.9000000000000004</v>
      </c>
    </row>
    <row r="8" spans="1:51" x14ac:dyDescent="0.35">
      <c r="A8">
        <v>7</v>
      </c>
      <c r="B8" t="s">
        <v>51</v>
      </c>
      <c r="C8" t="s">
        <v>52</v>
      </c>
      <c r="D8" t="s">
        <v>127</v>
      </c>
      <c r="E8" t="s">
        <v>54</v>
      </c>
      <c r="F8" t="s">
        <v>74</v>
      </c>
      <c r="G8" t="s">
        <v>101</v>
      </c>
      <c r="H8" t="s">
        <v>88</v>
      </c>
      <c r="I8" t="s">
        <v>128</v>
      </c>
      <c r="J8" t="s">
        <v>59</v>
      </c>
      <c r="K8" t="s">
        <v>129</v>
      </c>
      <c r="L8" t="s">
        <v>61</v>
      </c>
      <c r="M8" t="s">
        <v>130</v>
      </c>
      <c r="O8" t="s">
        <v>131</v>
      </c>
      <c r="P8" t="s">
        <v>64</v>
      </c>
      <c r="U8" t="s">
        <v>92</v>
      </c>
      <c r="V8" t="s">
        <v>66</v>
      </c>
      <c r="X8" t="s">
        <v>132</v>
      </c>
      <c r="Y8" t="s">
        <v>24</v>
      </c>
      <c r="AI8" t="s">
        <v>133</v>
      </c>
      <c r="AJ8" t="s">
        <v>134</v>
      </c>
      <c r="AK8" t="s">
        <v>135</v>
      </c>
      <c r="AL8">
        <v>1.37</v>
      </c>
      <c r="AM8">
        <v>26</v>
      </c>
      <c r="AN8" t="s">
        <v>97</v>
      </c>
      <c r="AO8" t="s">
        <v>136</v>
      </c>
      <c r="AR8">
        <v>25</v>
      </c>
      <c r="AS8">
        <v>28</v>
      </c>
      <c r="AT8">
        <v>26</v>
      </c>
      <c r="AU8">
        <v>0.14000000000000001</v>
      </c>
      <c r="AV8">
        <v>0.57999999999999996</v>
      </c>
      <c r="AW8">
        <v>0.94</v>
      </c>
      <c r="AX8">
        <v>1.66</v>
      </c>
      <c r="AY8">
        <f t="shared" si="0"/>
        <v>3.1799999999999997</v>
      </c>
    </row>
    <row r="9" spans="1:51" x14ac:dyDescent="0.35">
      <c r="A9">
        <v>8</v>
      </c>
      <c r="B9" t="s">
        <v>51</v>
      </c>
      <c r="C9" t="s">
        <v>52</v>
      </c>
      <c r="D9" t="s">
        <v>118</v>
      </c>
      <c r="E9" t="s">
        <v>54</v>
      </c>
      <c r="F9" t="s">
        <v>100</v>
      </c>
      <c r="G9" t="s">
        <v>87</v>
      </c>
      <c r="H9" t="s">
        <v>75</v>
      </c>
      <c r="I9" t="s">
        <v>58</v>
      </c>
      <c r="J9" t="s">
        <v>59</v>
      </c>
      <c r="K9" t="s">
        <v>137</v>
      </c>
      <c r="L9" t="s">
        <v>61</v>
      </c>
      <c r="M9" t="s">
        <v>138</v>
      </c>
      <c r="O9" t="s">
        <v>139</v>
      </c>
      <c r="P9" t="s">
        <v>64</v>
      </c>
      <c r="U9" t="s">
        <v>65</v>
      </c>
      <c r="V9" t="s">
        <v>66</v>
      </c>
      <c r="X9" t="s">
        <v>140</v>
      </c>
      <c r="Y9" t="s">
        <v>24</v>
      </c>
      <c r="AI9" t="s">
        <v>141</v>
      </c>
      <c r="AJ9" t="s">
        <v>142</v>
      </c>
      <c r="AK9" t="s">
        <v>143</v>
      </c>
      <c r="AL9">
        <v>1.37</v>
      </c>
      <c r="AM9">
        <v>22</v>
      </c>
      <c r="AN9" t="s">
        <v>97</v>
      </c>
      <c r="AO9" t="s">
        <v>144</v>
      </c>
      <c r="AR9">
        <v>3</v>
      </c>
      <c r="AS9">
        <v>20</v>
      </c>
      <c r="AT9">
        <v>10</v>
      </c>
      <c r="AU9">
        <v>0.42</v>
      </c>
      <c r="AV9">
        <v>0.84</v>
      </c>
      <c r="AW9">
        <v>0.65</v>
      </c>
      <c r="AX9">
        <v>1.91</v>
      </c>
      <c r="AY9">
        <f t="shared" si="0"/>
        <v>3.4</v>
      </c>
    </row>
    <row r="10" spans="1:51" x14ac:dyDescent="0.35">
      <c r="A10">
        <v>9</v>
      </c>
      <c r="B10" t="s">
        <v>51</v>
      </c>
      <c r="C10" t="s">
        <v>52</v>
      </c>
      <c r="D10" t="s">
        <v>145</v>
      </c>
      <c r="E10" t="s">
        <v>54</v>
      </c>
      <c r="F10" t="s">
        <v>55</v>
      </c>
      <c r="G10" t="s">
        <v>56</v>
      </c>
      <c r="H10" t="s">
        <v>57</v>
      </c>
      <c r="I10" t="s">
        <v>76</v>
      </c>
      <c r="J10" t="s">
        <v>59</v>
      </c>
      <c r="K10" t="s">
        <v>110</v>
      </c>
      <c r="L10" t="s">
        <v>146</v>
      </c>
      <c r="M10" t="s">
        <v>147</v>
      </c>
      <c r="N10">
        <v>1</v>
      </c>
      <c r="O10" t="s">
        <v>148</v>
      </c>
      <c r="P10" t="s">
        <v>149</v>
      </c>
      <c r="U10" t="s">
        <v>65</v>
      </c>
      <c r="V10" t="s">
        <v>66</v>
      </c>
      <c r="X10" t="s">
        <v>150</v>
      </c>
      <c r="Y10" t="s">
        <v>24</v>
      </c>
      <c r="AI10" t="s">
        <v>151</v>
      </c>
      <c r="AJ10" t="s">
        <v>152</v>
      </c>
      <c r="AK10" t="s">
        <v>153</v>
      </c>
      <c r="AL10">
        <v>1.26</v>
      </c>
      <c r="AM10">
        <v>33</v>
      </c>
      <c r="AN10" t="s">
        <v>97</v>
      </c>
      <c r="AO10" t="s">
        <v>154</v>
      </c>
      <c r="AR10">
        <v>27</v>
      </c>
      <c r="AS10">
        <v>20</v>
      </c>
      <c r="AT10">
        <v>10</v>
      </c>
      <c r="AU10">
        <v>0.65</v>
      </c>
      <c r="AV10">
        <v>0.4</v>
      </c>
      <c r="AW10">
        <v>0.34</v>
      </c>
      <c r="AX10">
        <v>1.39</v>
      </c>
      <c r="AY10">
        <f t="shared" si="0"/>
        <v>2.13</v>
      </c>
    </row>
    <row r="11" spans="1:51" x14ac:dyDescent="0.3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100</v>
      </c>
      <c r="G11" t="s">
        <v>87</v>
      </c>
      <c r="H11" t="s">
        <v>88</v>
      </c>
      <c r="I11" t="s">
        <v>128</v>
      </c>
      <c r="J11" t="s">
        <v>59</v>
      </c>
      <c r="K11" t="s">
        <v>89</v>
      </c>
      <c r="L11" t="s">
        <v>146</v>
      </c>
      <c r="M11" t="s">
        <v>155</v>
      </c>
      <c r="N11">
        <v>4</v>
      </c>
      <c r="O11" t="s">
        <v>148</v>
      </c>
      <c r="P11" t="s">
        <v>149</v>
      </c>
      <c r="U11" t="s">
        <v>92</v>
      </c>
      <c r="V11" t="s">
        <v>66</v>
      </c>
      <c r="X11" t="s">
        <v>156</v>
      </c>
      <c r="Y11" t="s">
        <v>24</v>
      </c>
      <c r="AI11" t="s">
        <v>157</v>
      </c>
      <c r="AJ11" t="s">
        <v>158</v>
      </c>
      <c r="AK11" t="s">
        <v>159</v>
      </c>
      <c r="AL11">
        <v>0.63</v>
      </c>
      <c r="AM11">
        <v>72</v>
      </c>
      <c r="AN11" t="s">
        <v>71</v>
      </c>
      <c r="AO11" t="s">
        <v>160</v>
      </c>
      <c r="AR11">
        <v>29</v>
      </c>
      <c r="AS11">
        <v>20</v>
      </c>
      <c r="AT11">
        <v>28</v>
      </c>
      <c r="AU11">
        <v>0.93</v>
      </c>
      <c r="AV11">
        <v>0.3</v>
      </c>
      <c r="AW11">
        <v>0.4</v>
      </c>
      <c r="AX11">
        <v>1.63</v>
      </c>
      <c r="AY11">
        <f t="shared" si="0"/>
        <v>2.33</v>
      </c>
    </row>
    <row r="12" spans="1:51" x14ac:dyDescent="0.35">
      <c r="A12">
        <v>11</v>
      </c>
      <c r="B12" t="s">
        <v>51</v>
      </c>
      <c r="C12" t="s">
        <v>52</v>
      </c>
      <c r="D12" t="s">
        <v>127</v>
      </c>
      <c r="E12" t="s">
        <v>54</v>
      </c>
      <c r="F12" t="s">
        <v>100</v>
      </c>
      <c r="G12" t="s">
        <v>56</v>
      </c>
      <c r="H12" t="s">
        <v>75</v>
      </c>
      <c r="I12" t="s">
        <v>119</v>
      </c>
      <c r="J12" t="s">
        <v>102</v>
      </c>
      <c r="K12" t="s">
        <v>137</v>
      </c>
      <c r="L12" t="s">
        <v>61</v>
      </c>
      <c r="M12" t="s">
        <v>161</v>
      </c>
      <c r="O12" t="s">
        <v>104</v>
      </c>
      <c r="P12" t="s">
        <v>64</v>
      </c>
      <c r="U12" t="s">
        <v>65</v>
      </c>
      <c r="V12" t="s">
        <v>66</v>
      </c>
      <c r="X12" t="s">
        <v>162</v>
      </c>
      <c r="Y12" t="s">
        <v>24</v>
      </c>
      <c r="AI12" t="s">
        <v>163</v>
      </c>
      <c r="AJ12" t="s">
        <v>164</v>
      </c>
      <c r="AK12" t="s">
        <v>165</v>
      </c>
      <c r="AL12">
        <v>0.88</v>
      </c>
      <c r="AM12">
        <v>41</v>
      </c>
      <c r="AN12" t="s">
        <v>84</v>
      </c>
      <c r="AO12" t="s">
        <v>166</v>
      </c>
      <c r="AR12">
        <v>20</v>
      </c>
      <c r="AS12">
        <v>18</v>
      </c>
      <c r="AT12">
        <v>8</v>
      </c>
      <c r="AU12">
        <v>0.63</v>
      </c>
      <c r="AV12">
        <v>0.99</v>
      </c>
      <c r="AW12">
        <v>0.9</v>
      </c>
      <c r="AX12">
        <v>2.52</v>
      </c>
      <c r="AY12">
        <f t="shared" si="0"/>
        <v>4.41</v>
      </c>
    </row>
    <row r="13" spans="1:51" x14ac:dyDescent="0.35">
      <c r="A13">
        <v>12</v>
      </c>
      <c r="B13" t="s">
        <v>51</v>
      </c>
      <c r="C13" t="s">
        <v>52</v>
      </c>
      <c r="D13" t="s">
        <v>167</v>
      </c>
      <c r="E13" t="s">
        <v>54</v>
      </c>
      <c r="F13" t="s">
        <v>74</v>
      </c>
      <c r="G13" t="s">
        <v>56</v>
      </c>
      <c r="H13" t="s">
        <v>168</v>
      </c>
      <c r="I13" t="s">
        <v>169</v>
      </c>
      <c r="J13" t="s">
        <v>59</v>
      </c>
      <c r="K13" t="s">
        <v>170</v>
      </c>
      <c r="L13" t="s">
        <v>146</v>
      </c>
      <c r="M13" t="s">
        <v>171</v>
      </c>
      <c r="N13">
        <v>5</v>
      </c>
      <c r="O13" t="s">
        <v>148</v>
      </c>
      <c r="P13" t="s">
        <v>149</v>
      </c>
      <c r="U13" t="s">
        <v>92</v>
      </c>
      <c r="V13" t="s">
        <v>66</v>
      </c>
      <c r="X13" t="s">
        <v>172</v>
      </c>
      <c r="Y13" t="s">
        <v>24</v>
      </c>
      <c r="AI13" t="s">
        <v>173</v>
      </c>
      <c r="AJ13" t="s">
        <v>174</v>
      </c>
      <c r="AK13" t="s">
        <v>175</v>
      </c>
      <c r="AL13">
        <v>1.37</v>
      </c>
      <c r="AM13">
        <v>43</v>
      </c>
      <c r="AN13" t="s">
        <v>97</v>
      </c>
      <c r="AO13" t="s">
        <v>176</v>
      </c>
      <c r="AR13">
        <v>26</v>
      </c>
      <c r="AS13">
        <v>16</v>
      </c>
      <c r="AT13">
        <v>14</v>
      </c>
      <c r="AU13">
        <v>0.31</v>
      </c>
      <c r="AV13">
        <v>0.39</v>
      </c>
      <c r="AW13">
        <v>0.98</v>
      </c>
      <c r="AX13">
        <v>1.68</v>
      </c>
      <c r="AY13">
        <f t="shared" si="0"/>
        <v>3.05</v>
      </c>
    </row>
    <row r="14" spans="1:51" x14ac:dyDescent="0.35">
      <c r="A14">
        <v>13</v>
      </c>
      <c r="B14" t="s">
        <v>51</v>
      </c>
      <c r="C14" t="s">
        <v>52</v>
      </c>
      <c r="D14" t="s">
        <v>177</v>
      </c>
      <c r="E14" t="s">
        <v>54</v>
      </c>
      <c r="F14" t="s">
        <v>74</v>
      </c>
      <c r="G14" t="s">
        <v>87</v>
      </c>
      <c r="H14" t="s">
        <v>168</v>
      </c>
      <c r="I14" t="s">
        <v>128</v>
      </c>
      <c r="J14" t="s">
        <v>59</v>
      </c>
      <c r="K14" t="s">
        <v>110</v>
      </c>
      <c r="L14" t="s">
        <v>61</v>
      </c>
      <c r="M14" t="s">
        <v>178</v>
      </c>
      <c r="O14" t="s">
        <v>179</v>
      </c>
      <c r="P14" t="s">
        <v>64</v>
      </c>
      <c r="U14" t="s">
        <v>65</v>
      </c>
      <c r="V14" t="s">
        <v>66</v>
      </c>
      <c r="X14" t="s">
        <v>180</v>
      </c>
      <c r="Y14" t="s">
        <v>24</v>
      </c>
      <c r="AI14" t="s">
        <v>181</v>
      </c>
      <c r="AJ14" t="s">
        <v>182</v>
      </c>
      <c r="AK14" t="s">
        <v>183</v>
      </c>
      <c r="AL14">
        <v>1.03</v>
      </c>
      <c r="AM14">
        <v>42</v>
      </c>
      <c r="AN14" t="s">
        <v>97</v>
      </c>
      <c r="AO14" t="s">
        <v>184</v>
      </c>
      <c r="AR14">
        <v>20</v>
      </c>
      <c r="AS14">
        <v>18</v>
      </c>
      <c r="AT14">
        <v>4</v>
      </c>
      <c r="AU14">
        <v>0.43</v>
      </c>
      <c r="AV14">
        <v>0.41</v>
      </c>
      <c r="AW14">
        <v>0.72</v>
      </c>
      <c r="AX14">
        <v>1.56</v>
      </c>
      <c r="AY14">
        <f t="shared" si="0"/>
        <v>2.69</v>
      </c>
    </row>
    <row r="15" spans="1:51" x14ac:dyDescent="0.35">
      <c r="A15">
        <v>14</v>
      </c>
      <c r="B15" t="s">
        <v>51</v>
      </c>
      <c r="C15" t="s">
        <v>52</v>
      </c>
      <c r="D15" t="s">
        <v>185</v>
      </c>
      <c r="E15" t="s">
        <v>54</v>
      </c>
      <c r="F15" t="s">
        <v>55</v>
      </c>
      <c r="G15" t="s">
        <v>56</v>
      </c>
      <c r="H15" t="s">
        <v>168</v>
      </c>
      <c r="I15" t="s">
        <v>169</v>
      </c>
      <c r="J15" t="s">
        <v>59</v>
      </c>
      <c r="K15" t="s">
        <v>110</v>
      </c>
      <c r="L15" t="s">
        <v>61</v>
      </c>
      <c r="M15" t="s">
        <v>186</v>
      </c>
      <c r="O15" t="s">
        <v>187</v>
      </c>
      <c r="P15" t="s">
        <v>64</v>
      </c>
      <c r="U15" t="s">
        <v>92</v>
      </c>
      <c r="V15" t="s">
        <v>66</v>
      </c>
      <c r="X15" t="s">
        <v>188</v>
      </c>
      <c r="Y15" t="s">
        <v>24</v>
      </c>
      <c r="AI15" t="s">
        <v>189</v>
      </c>
      <c r="AJ15" t="s">
        <v>190</v>
      </c>
      <c r="AK15" t="s">
        <v>96</v>
      </c>
      <c r="AL15">
        <v>0.89</v>
      </c>
      <c r="AM15">
        <v>61</v>
      </c>
      <c r="AN15" t="s">
        <v>97</v>
      </c>
      <c r="AO15" t="s">
        <v>191</v>
      </c>
      <c r="AR15">
        <v>22</v>
      </c>
      <c r="AS15">
        <v>26</v>
      </c>
      <c r="AT15">
        <v>20</v>
      </c>
      <c r="AU15">
        <v>0.83</v>
      </c>
      <c r="AV15">
        <v>0.79</v>
      </c>
      <c r="AW15">
        <v>0.15</v>
      </c>
      <c r="AX15">
        <v>1.77</v>
      </c>
      <c r="AY15">
        <f t="shared" si="0"/>
        <v>2.71</v>
      </c>
    </row>
    <row r="16" spans="1:51" x14ac:dyDescent="0.35">
      <c r="A16">
        <v>15</v>
      </c>
      <c r="B16" t="s">
        <v>51</v>
      </c>
      <c r="C16" t="s">
        <v>52</v>
      </c>
      <c r="D16" t="s">
        <v>192</v>
      </c>
      <c r="E16" t="s">
        <v>54</v>
      </c>
      <c r="F16" t="s">
        <v>55</v>
      </c>
      <c r="G16" t="s">
        <v>87</v>
      </c>
      <c r="H16" t="s">
        <v>88</v>
      </c>
      <c r="I16" t="s">
        <v>58</v>
      </c>
      <c r="J16" t="s">
        <v>59</v>
      </c>
      <c r="K16" t="s">
        <v>137</v>
      </c>
      <c r="L16" t="s">
        <v>146</v>
      </c>
      <c r="M16" t="s">
        <v>155</v>
      </c>
      <c r="N16">
        <v>5</v>
      </c>
      <c r="O16" t="s">
        <v>148</v>
      </c>
      <c r="P16" t="s">
        <v>149</v>
      </c>
      <c r="U16" t="s">
        <v>65</v>
      </c>
      <c r="V16" t="s">
        <v>66</v>
      </c>
      <c r="X16" t="s">
        <v>193</v>
      </c>
      <c r="Y16" t="s">
        <v>24</v>
      </c>
      <c r="AI16" t="s">
        <v>194</v>
      </c>
      <c r="AJ16" t="s">
        <v>195</v>
      </c>
      <c r="AK16" t="s">
        <v>116</v>
      </c>
      <c r="AL16">
        <v>0.45</v>
      </c>
      <c r="AM16">
        <v>46</v>
      </c>
      <c r="AN16" t="s">
        <v>84</v>
      </c>
      <c r="AO16" t="s">
        <v>196</v>
      </c>
      <c r="AR16">
        <v>19</v>
      </c>
      <c r="AS16">
        <v>12</v>
      </c>
      <c r="AT16">
        <v>2</v>
      </c>
      <c r="AU16">
        <v>0.59</v>
      </c>
      <c r="AV16">
        <v>0.77</v>
      </c>
      <c r="AW16">
        <v>0.28999999999999998</v>
      </c>
      <c r="AX16">
        <v>1.65</v>
      </c>
      <c r="AY16">
        <f t="shared" si="0"/>
        <v>2.71</v>
      </c>
    </row>
    <row r="17" spans="1:51" x14ac:dyDescent="0.35">
      <c r="A17">
        <v>16</v>
      </c>
      <c r="B17" t="s">
        <v>51</v>
      </c>
      <c r="C17" t="s">
        <v>52</v>
      </c>
      <c r="D17" t="s">
        <v>192</v>
      </c>
      <c r="E17" t="s">
        <v>54</v>
      </c>
      <c r="F17" t="s">
        <v>55</v>
      </c>
      <c r="G17" t="s">
        <v>101</v>
      </c>
      <c r="H17" t="s">
        <v>57</v>
      </c>
      <c r="I17" t="s">
        <v>128</v>
      </c>
      <c r="J17" t="s">
        <v>59</v>
      </c>
      <c r="K17" t="s">
        <v>60</v>
      </c>
      <c r="L17" t="s">
        <v>146</v>
      </c>
      <c r="M17" t="s">
        <v>197</v>
      </c>
      <c r="N17">
        <v>6</v>
      </c>
      <c r="O17" t="s">
        <v>148</v>
      </c>
      <c r="P17" t="s">
        <v>149</v>
      </c>
      <c r="U17" t="s">
        <v>65</v>
      </c>
      <c r="V17" t="s">
        <v>66</v>
      </c>
      <c r="X17" t="s">
        <v>198</v>
      </c>
      <c r="Y17" t="s">
        <v>24</v>
      </c>
      <c r="AI17" t="s">
        <v>199</v>
      </c>
      <c r="AJ17" t="s">
        <v>200</v>
      </c>
      <c r="AK17" t="s">
        <v>135</v>
      </c>
      <c r="AL17">
        <v>0.9</v>
      </c>
      <c r="AM17">
        <v>69</v>
      </c>
      <c r="AN17" t="s">
        <v>84</v>
      </c>
      <c r="AO17" t="s">
        <v>201</v>
      </c>
      <c r="AR17">
        <v>18</v>
      </c>
      <c r="AS17">
        <v>4</v>
      </c>
      <c r="AT17">
        <v>27</v>
      </c>
      <c r="AU17">
        <v>0.95</v>
      </c>
      <c r="AV17">
        <v>0.39</v>
      </c>
      <c r="AW17">
        <v>0.28999999999999998</v>
      </c>
      <c r="AX17">
        <v>1.63</v>
      </c>
      <c r="AY17">
        <f t="shared" si="0"/>
        <v>2.3099999999999996</v>
      </c>
    </row>
    <row r="18" spans="1:51" x14ac:dyDescent="0.35">
      <c r="A18">
        <v>17</v>
      </c>
      <c r="B18" t="s">
        <v>51</v>
      </c>
      <c r="C18" t="s">
        <v>52</v>
      </c>
      <c r="D18" t="s">
        <v>202</v>
      </c>
      <c r="E18" t="s">
        <v>54</v>
      </c>
      <c r="F18" t="s">
        <v>100</v>
      </c>
      <c r="G18" t="s">
        <v>56</v>
      </c>
      <c r="H18" t="s">
        <v>88</v>
      </c>
      <c r="I18" t="s">
        <v>76</v>
      </c>
      <c r="J18" t="s">
        <v>59</v>
      </c>
      <c r="K18" t="s">
        <v>89</v>
      </c>
      <c r="L18" t="s">
        <v>61</v>
      </c>
      <c r="M18" t="s">
        <v>203</v>
      </c>
      <c r="O18" t="s">
        <v>204</v>
      </c>
      <c r="P18" t="s">
        <v>64</v>
      </c>
      <c r="U18" t="s">
        <v>65</v>
      </c>
      <c r="V18" t="s">
        <v>66</v>
      </c>
      <c r="X18" t="s">
        <v>205</v>
      </c>
      <c r="Y18" t="s">
        <v>24</v>
      </c>
      <c r="AI18" t="s">
        <v>206</v>
      </c>
      <c r="AJ18" t="s">
        <v>207</v>
      </c>
      <c r="AK18" t="s">
        <v>208</v>
      </c>
      <c r="AL18">
        <v>1.31</v>
      </c>
      <c r="AM18">
        <v>31</v>
      </c>
      <c r="AN18" t="s">
        <v>84</v>
      </c>
      <c r="AO18" t="s">
        <v>209</v>
      </c>
      <c r="AR18">
        <v>7</v>
      </c>
      <c r="AS18">
        <v>24</v>
      </c>
      <c r="AT18">
        <v>5</v>
      </c>
      <c r="AU18">
        <v>0.6</v>
      </c>
      <c r="AV18">
        <v>0.56999999999999995</v>
      </c>
      <c r="AW18">
        <v>0.43</v>
      </c>
      <c r="AX18">
        <v>1.6</v>
      </c>
      <c r="AY18">
        <f t="shared" si="0"/>
        <v>2.6</v>
      </c>
    </row>
    <row r="19" spans="1:51" x14ac:dyDescent="0.35">
      <c r="A19">
        <v>18</v>
      </c>
      <c r="B19" t="s">
        <v>51</v>
      </c>
      <c r="C19" t="s">
        <v>52</v>
      </c>
      <c r="D19" t="s">
        <v>210</v>
      </c>
      <c r="E19" t="s">
        <v>54</v>
      </c>
      <c r="F19" t="s">
        <v>55</v>
      </c>
      <c r="G19" t="s">
        <v>87</v>
      </c>
      <c r="H19" t="s">
        <v>75</v>
      </c>
      <c r="I19" t="s">
        <v>76</v>
      </c>
      <c r="J19" t="s">
        <v>102</v>
      </c>
      <c r="K19" t="s">
        <v>211</v>
      </c>
      <c r="L19" t="s">
        <v>146</v>
      </c>
      <c r="M19" t="s">
        <v>90</v>
      </c>
      <c r="N19">
        <v>6</v>
      </c>
      <c r="O19" t="s">
        <v>148</v>
      </c>
      <c r="P19" t="s">
        <v>149</v>
      </c>
      <c r="U19" t="s">
        <v>92</v>
      </c>
      <c r="V19" t="s">
        <v>66</v>
      </c>
      <c r="X19" t="s">
        <v>212</v>
      </c>
      <c r="Y19" t="s">
        <v>24</v>
      </c>
      <c r="AI19" t="s">
        <v>213</v>
      </c>
      <c r="AJ19" t="s">
        <v>214</v>
      </c>
      <c r="AK19" t="s">
        <v>104</v>
      </c>
      <c r="AL19">
        <v>0.74</v>
      </c>
      <c r="AM19">
        <v>25</v>
      </c>
      <c r="AN19" t="s">
        <v>84</v>
      </c>
      <c r="AO19" t="s">
        <v>215</v>
      </c>
      <c r="AR19">
        <v>2</v>
      </c>
      <c r="AS19">
        <v>6</v>
      </c>
      <c r="AT19">
        <v>1</v>
      </c>
      <c r="AU19">
        <v>0.43</v>
      </c>
      <c r="AV19">
        <v>0.97</v>
      </c>
      <c r="AW19">
        <v>0.28999999999999998</v>
      </c>
      <c r="AX19">
        <v>1.69</v>
      </c>
      <c r="AY19">
        <f t="shared" si="0"/>
        <v>2.95</v>
      </c>
    </row>
    <row r="20" spans="1:51" x14ac:dyDescent="0.35">
      <c r="A20">
        <v>19</v>
      </c>
      <c r="B20" t="s">
        <v>51</v>
      </c>
      <c r="C20" t="s">
        <v>52</v>
      </c>
      <c r="D20" t="s">
        <v>177</v>
      </c>
      <c r="E20" t="s">
        <v>54</v>
      </c>
      <c r="F20" t="s">
        <v>100</v>
      </c>
      <c r="G20" t="s">
        <v>101</v>
      </c>
      <c r="H20" t="s">
        <v>57</v>
      </c>
      <c r="I20" t="s">
        <v>169</v>
      </c>
      <c r="J20" t="s">
        <v>102</v>
      </c>
      <c r="K20" t="s">
        <v>129</v>
      </c>
      <c r="L20" t="s">
        <v>146</v>
      </c>
      <c r="M20" t="s">
        <v>147</v>
      </c>
      <c r="N20">
        <v>6</v>
      </c>
      <c r="O20" t="s">
        <v>148</v>
      </c>
      <c r="P20" t="s">
        <v>149</v>
      </c>
      <c r="U20" t="s">
        <v>65</v>
      </c>
      <c r="V20" t="s">
        <v>66</v>
      </c>
      <c r="X20" t="s">
        <v>216</v>
      </c>
      <c r="Y20" t="s">
        <v>24</v>
      </c>
      <c r="AI20" t="s">
        <v>217</v>
      </c>
      <c r="AJ20" t="s">
        <v>218</v>
      </c>
      <c r="AK20" t="s">
        <v>219</v>
      </c>
      <c r="AL20">
        <v>0.91</v>
      </c>
      <c r="AM20">
        <v>41</v>
      </c>
      <c r="AN20" t="s">
        <v>97</v>
      </c>
      <c r="AO20" t="s">
        <v>220</v>
      </c>
      <c r="AR20">
        <v>6</v>
      </c>
      <c r="AS20">
        <v>30</v>
      </c>
      <c r="AT20">
        <v>13</v>
      </c>
      <c r="AU20">
        <v>0.47</v>
      </c>
      <c r="AV20">
        <v>0.11</v>
      </c>
      <c r="AW20">
        <v>0.61</v>
      </c>
      <c r="AX20">
        <v>1.19</v>
      </c>
      <c r="AY20">
        <f t="shared" si="0"/>
        <v>1.91</v>
      </c>
    </row>
    <row r="21" spans="1:51" x14ac:dyDescent="0.35">
      <c r="A21">
        <v>20</v>
      </c>
      <c r="B21" t="s">
        <v>51</v>
      </c>
      <c r="C21" t="s">
        <v>52</v>
      </c>
      <c r="D21" t="s">
        <v>202</v>
      </c>
      <c r="E21" t="s">
        <v>54</v>
      </c>
      <c r="F21" t="s">
        <v>100</v>
      </c>
      <c r="G21" t="s">
        <v>101</v>
      </c>
      <c r="H21" t="s">
        <v>88</v>
      </c>
      <c r="I21" t="s">
        <v>169</v>
      </c>
      <c r="J21" t="s">
        <v>59</v>
      </c>
      <c r="K21" t="s">
        <v>170</v>
      </c>
      <c r="L21" t="s">
        <v>146</v>
      </c>
      <c r="M21" t="s">
        <v>204</v>
      </c>
      <c r="N21">
        <v>8</v>
      </c>
      <c r="O21" t="s">
        <v>148</v>
      </c>
      <c r="P21" t="s">
        <v>149</v>
      </c>
      <c r="U21" t="s">
        <v>65</v>
      </c>
      <c r="V21" t="s">
        <v>66</v>
      </c>
      <c r="X21" t="s">
        <v>221</v>
      </c>
      <c r="Y21" t="s">
        <v>24</v>
      </c>
      <c r="AI21" t="s">
        <v>222</v>
      </c>
      <c r="AJ21" t="s">
        <v>223</v>
      </c>
      <c r="AK21" t="s">
        <v>224</v>
      </c>
      <c r="AL21">
        <v>1.42</v>
      </c>
      <c r="AM21">
        <v>67</v>
      </c>
      <c r="AN21" t="s">
        <v>84</v>
      </c>
      <c r="AO21" t="s">
        <v>225</v>
      </c>
      <c r="AR21">
        <v>8</v>
      </c>
      <c r="AS21">
        <v>10</v>
      </c>
      <c r="AT21">
        <v>19</v>
      </c>
      <c r="AU21">
        <v>0.18</v>
      </c>
      <c r="AV21">
        <v>0.7</v>
      </c>
      <c r="AW21">
        <v>0.9</v>
      </c>
      <c r="AX21">
        <v>1.78</v>
      </c>
      <c r="AY21">
        <f t="shared" si="0"/>
        <v>3.38</v>
      </c>
    </row>
    <row r="22" spans="1:51" x14ac:dyDescent="0.35">
      <c r="A22">
        <v>21</v>
      </c>
      <c r="B22" t="s">
        <v>51</v>
      </c>
      <c r="C22" t="s">
        <v>52</v>
      </c>
      <c r="D22" t="s">
        <v>202</v>
      </c>
      <c r="E22" t="s">
        <v>54</v>
      </c>
      <c r="F22" t="s">
        <v>74</v>
      </c>
      <c r="G22" t="s">
        <v>56</v>
      </c>
      <c r="H22" t="s">
        <v>57</v>
      </c>
      <c r="I22" t="s">
        <v>128</v>
      </c>
      <c r="J22" t="s">
        <v>59</v>
      </c>
      <c r="K22" t="s">
        <v>226</v>
      </c>
      <c r="L22" t="s">
        <v>61</v>
      </c>
      <c r="M22" t="s">
        <v>227</v>
      </c>
      <c r="O22" t="s">
        <v>228</v>
      </c>
      <c r="P22" t="s">
        <v>64</v>
      </c>
      <c r="U22" t="s">
        <v>92</v>
      </c>
      <c r="V22" t="s">
        <v>66</v>
      </c>
      <c r="X22" t="s">
        <v>229</v>
      </c>
      <c r="Y22" t="s">
        <v>24</v>
      </c>
      <c r="AI22" t="s">
        <v>230</v>
      </c>
      <c r="AJ22" t="s">
        <v>231</v>
      </c>
      <c r="AK22" t="s">
        <v>131</v>
      </c>
      <c r="AL22">
        <v>1.38</v>
      </c>
      <c r="AM22">
        <v>49</v>
      </c>
      <c r="AN22" t="s">
        <v>84</v>
      </c>
      <c r="AO22" t="s">
        <v>232</v>
      </c>
      <c r="AR22">
        <v>6</v>
      </c>
      <c r="AS22">
        <v>27</v>
      </c>
      <c r="AT22">
        <v>14</v>
      </c>
      <c r="AU22">
        <v>0.73</v>
      </c>
      <c r="AV22">
        <v>0.82</v>
      </c>
      <c r="AW22">
        <v>0.79</v>
      </c>
      <c r="AX22">
        <v>2.34</v>
      </c>
      <c r="AY22">
        <f t="shared" si="0"/>
        <v>3.9499999999999997</v>
      </c>
    </row>
    <row r="23" spans="1:51" x14ac:dyDescent="0.35">
      <c r="A23">
        <v>22</v>
      </c>
      <c r="B23" t="s">
        <v>51</v>
      </c>
      <c r="C23" t="s">
        <v>52</v>
      </c>
      <c r="D23" t="s">
        <v>210</v>
      </c>
      <c r="E23" t="s">
        <v>54</v>
      </c>
      <c r="F23" t="s">
        <v>55</v>
      </c>
      <c r="G23" t="s">
        <v>56</v>
      </c>
      <c r="H23" t="s">
        <v>75</v>
      </c>
      <c r="I23" t="s">
        <v>76</v>
      </c>
      <c r="J23" t="s">
        <v>102</v>
      </c>
      <c r="K23" t="s">
        <v>77</v>
      </c>
      <c r="L23" t="s">
        <v>146</v>
      </c>
      <c r="M23" t="s">
        <v>233</v>
      </c>
      <c r="N23">
        <v>8</v>
      </c>
      <c r="O23" t="s">
        <v>148</v>
      </c>
      <c r="P23" t="s">
        <v>149</v>
      </c>
      <c r="U23" t="s">
        <v>65</v>
      </c>
      <c r="V23" t="s">
        <v>66</v>
      </c>
      <c r="X23" t="s">
        <v>234</v>
      </c>
      <c r="Y23" t="s">
        <v>24</v>
      </c>
      <c r="AI23" t="s">
        <v>235</v>
      </c>
      <c r="AJ23" t="s">
        <v>236</v>
      </c>
      <c r="AK23" t="s">
        <v>104</v>
      </c>
      <c r="AL23">
        <v>1.25</v>
      </c>
      <c r="AM23">
        <v>37</v>
      </c>
      <c r="AN23" t="s">
        <v>84</v>
      </c>
      <c r="AO23" t="s">
        <v>237</v>
      </c>
      <c r="AR23">
        <v>15</v>
      </c>
      <c r="AS23">
        <v>24</v>
      </c>
      <c r="AT23">
        <v>20</v>
      </c>
      <c r="AU23">
        <v>0.55000000000000004</v>
      </c>
      <c r="AV23">
        <v>0.48</v>
      </c>
      <c r="AW23">
        <v>0.87</v>
      </c>
      <c r="AX23">
        <v>1.9</v>
      </c>
      <c r="AY23">
        <f t="shared" si="0"/>
        <v>3.25</v>
      </c>
    </row>
    <row r="24" spans="1:51" x14ac:dyDescent="0.35">
      <c r="A24">
        <v>23</v>
      </c>
      <c r="B24" t="s">
        <v>51</v>
      </c>
      <c r="C24" t="s">
        <v>52</v>
      </c>
      <c r="D24" t="s">
        <v>238</v>
      </c>
      <c r="E24" t="s">
        <v>54</v>
      </c>
      <c r="F24" t="s">
        <v>100</v>
      </c>
      <c r="G24" t="s">
        <v>87</v>
      </c>
      <c r="H24" t="s">
        <v>88</v>
      </c>
      <c r="I24" t="s">
        <v>128</v>
      </c>
      <c r="J24" t="s">
        <v>102</v>
      </c>
      <c r="K24" t="s">
        <v>89</v>
      </c>
      <c r="L24" t="s">
        <v>61</v>
      </c>
      <c r="M24" t="s">
        <v>239</v>
      </c>
      <c r="O24" t="s">
        <v>240</v>
      </c>
      <c r="P24" t="s">
        <v>64</v>
      </c>
      <c r="U24" t="s">
        <v>65</v>
      </c>
      <c r="V24" t="s">
        <v>66</v>
      </c>
      <c r="X24" t="s">
        <v>241</v>
      </c>
      <c r="Y24" t="s">
        <v>24</v>
      </c>
      <c r="AI24" t="s">
        <v>242</v>
      </c>
      <c r="AJ24" t="s">
        <v>243</v>
      </c>
      <c r="AK24" t="s">
        <v>244</v>
      </c>
      <c r="AL24">
        <v>0.72</v>
      </c>
      <c r="AM24">
        <v>47</v>
      </c>
      <c r="AN24" t="s">
        <v>97</v>
      </c>
      <c r="AO24" t="s">
        <v>245</v>
      </c>
      <c r="AR24">
        <v>21</v>
      </c>
      <c r="AS24">
        <v>2</v>
      </c>
      <c r="AT24">
        <v>25</v>
      </c>
      <c r="AU24">
        <v>0.83</v>
      </c>
      <c r="AV24">
        <v>0.22</v>
      </c>
      <c r="AW24">
        <v>0.39</v>
      </c>
      <c r="AX24">
        <v>1.44</v>
      </c>
      <c r="AY24">
        <f t="shared" si="0"/>
        <v>2.0499999999999998</v>
      </c>
    </row>
    <row r="25" spans="1:51" x14ac:dyDescent="0.35">
      <c r="A25">
        <v>24</v>
      </c>
      <c r="B25" t="s">
        <v>51</v>
      </c>
      <c r="C25" t="s">
        <v>52</v>
      </c>
      <c r="D25" t="s">
        <v>246</v>
      </c>
      <c r="E25" t="s">
        <v>54</v>
      </c>
      <c r="F25" t="s">
        <v>74</v>
      </c>
      <c r="G25" t="s">
        <v>56</v>
      </c>
      <c r="H25" t="s">
        <v>57</v>
      </c>
      <c r="I25" t="s">
        <v>58</v>
      </c>
      <c r="J25" t="s">
        <v>102</v>
      </c>
      <c r="K25" t="s">
        <v>129</v>
      </c>
      <c r="L25" t="s">
        <v>146</v>
      </c>
      <c r="M25" t="s">
        <v>247</v>
      </c>
      <c r="N25">
        <v>2</v>
      </c>
      <c r="O25" t="s">
        <v>148</v>
      </c>
      <c r="P25" t="s">
        <v>149</v>
      </c>
      <c r="U25" t="s">
        <v>65</v>
      </c>
      <c r="V25" t="s">
        <v>66</v>
      </c>
      <c r="X25" t="s">
        <v>248</v>
      </c>
      <c r="Y25" t="s">
        <v>24</v>
      </c>
      <c r="AI25" t="s">
        <v>249</v>
      </c>
      <c r="AJ25" t="s">
        <v>250</v>
      </c>
      <c r="AK25" t="s">
        <v>112</v>
      </c>
      <c r="AL25">
        <v>1.21</v>
      </c>
      <c r="AM25">
        <v>69</v>
      </c>
      <c r="AN25" t="s">
        <v>97</v>
      </c>
      <c r="AO25" t="s">
        <v>251</v>
      </c>
      <c r="AR25">
        <v>7</v>
      </c>
      <c r="AS25">
        <v>15</v>
      </c>
      <c r="AT25">
        <v>22</v>
      </c>
      <c r="AU25">
        <v>0.3</v>
      </c>
      <c r="AV25">
        <v>0.49</v>
      </c>
      <c r="AW25">
        <v>0.39</v>
      </c>
      <c r="AX25">
        <v>1.18</v>
      </c>
      <c r="AY25">
        <f t="shared" si="0"/>
        <v>2.06</v>
      </c>
    </row>
    <row r="26" spans="1:51" x14ac:dyDescent="0.35">
      <c r="A26">
        <v>25</v>
      </c>
      <c r="B26" t="s">
        <v>51</v>
      </c>
      <c r="C26" t="s">
        <v>52</v>
      </c>
      <c r="D26" t="s">
        <v>99</v>
      </c>
      <c r="E26" t="s">
        <v>54</v>
      </c>
      <c r="F26" t="s">
        <v>55</v>
      </c>
      <c r="G26" t="s">
        <v>101</v>
      </c>
      <c r="H26" t="s">
        <v>168</v>
      </c>
      <c r="I26" t="s">
        <v>128</v>
      </c>
      <c r="J26" t="s">
        <v>59</v>
      </c>
      <c r="K26" t="s">
        <v>110</v>
      </c>
      <c r="L26" t="s">
        <v>61</v>
      </c>
      <c r="M26" t="s">
        <v>252</v>
      </c>
      <c r="O26" t="s">
        <v>253</v>
      </c>
      <c r="P26" t="s">
        <v>64</v>
      </c>
      <c r="U26" t="s">
        <v>65</v>
      </c>
      <c r="V26" t="s">
        <v>66</v>
      </c>
      <c r="X26" t="s">
        <v>254</v>
      </c>
      <c r="Y26" t="s">
        <v>24</v>
      </c>
      <c r="AI26" t="s">
        <v>255</v>
      </c>
      <c r="AJ26" t="s">
        <v>256</v>
      </c>
      <c r="AK26" t="s">
        <v>257</v>
      </c>
      <c r="AL26">
        <v>0.49</v>
      </c>
      <c r="AM26">
        <v>78</v>
      </c>
      <c r="AN26" t="s">
        <v>71</v>
      </c>
      <c r="AO26" t="s">
        <v>258</v>
      </c>
      <c r="AR26">
        <v>26</v>
      </c>
      <c r="AS26">
        <v>10</v>
      </c>
      <c r="AT26">
        <v>27</v>
      </c>
      <c r="AU26">
        <v>0.77</v>
      </c>
      <c r="AV26">
        <v>0.22</v>
      </c>
      <c r="AW26">
        <v>0.84</v>
      </c>
      <c r="AX26">
        <v>1.83</v>
      </c>
      <c r="AY26">
        <f t="shared" si="0"/>
        <v>2.89</v>
      </c>
    </row>
    <row r="27" spans="1:51" x14ac:dyDescent="0.35">
      <c r="A27">
        <v>26</v>
      </c>
      <c r="B27" t="s">
        <v>51</v>
      </c>
      <c r="C27" t="s">
        <v>52</v>
      </c>
      <c r="D27" t="s">
        <v>177</v>
      </c>
      <c r="E27" t="s">
        <v>54</v>
      </c>
      <c r="F27" t="s">
        <v>55</v>
      </c>
      <c r="G27" t="s">
        <v>101</v>
      </c>
      <c r="H27" t="s">
        <v>75</v>
      </c>
      <c r="I27" t="s">
        <v>58</v>
      </c>
      <c r="J27" t="s">
        <v>59</v>
      </c>
      <c r="K27" t="s">
        <v>120</v>
      </c>
      <c r="L27" t="s">
        <v>61</v>
      </c>
      <c r="M27" t="s">
        <v>259</v>
      </c>
      <c r="O27" t="s">
        <v>260</v>
      </c>
      <c r="P27" t="s">
        <v>64</v>
      </c>
      <c r="U27" t="s">
        <v>65</v>
      </c>
      <c r="V27" t="s">
        <v>66</v>
      </c>
      <c r="X27" t="s">
        <v>261</v>
      </c>
      <c r="Y27" t="s">
        <v>24</v>
      </c>
      <c r="AI27" t="s">
        <v>262</v>
      </c>
      <c r="AJ27" t="s">
        <v>263</v>
      </c>
      <c r="AK27" t="s">
        <v>264</v>
      </c>
      <c r="AL27">
        <v>0.31</v>
      </c>
      <c r="AM27">
        <v>78</v>
      </c>
      <c r="AN27" t="s">
        <v>84</v>
      </c>
      <c r="AO27" t="s">
        <v>265</v>
      </c>
      <c r="AR27">
        <v>26</v>
      </c>
      <c r="AS27">
        <v>4</v>
      </c>
      <c r="AT27">
        <v>14</v>
      </c>
      <c r="AU27">
        <v>0.18</v>
      </c>
      <c r="AV27">
        <v>0.79</v>
      </c>
      <c r="AW27">
        <v>0.87</v>
      </c>
      <c r="AX27">
        <v>1.84</v>
      </c>
      <c r="AY27">
        <f t="shared" si="0"/>
        <v>3.5</v>
      </c>
    </row>
    <row r="28" spans="1:51" x14ac:dyDescent="0.35">
      <c r="A28">
        <v>27</v>
      </c>
      <c r="B28" t="s">
        <v>51</v>
      </c>
      <c r="C28" t="s">
        <v>52</v>
      </c>
      <c r="D28" t="s">
        <v>210</v>
      </c>
      <c r="E28" t="s">
        <v>54</v>
      </c>
      <c r="F28" t="s">
        <v>55</v>
      </c>
      <c r="G28" t="s">
        <v>87</v>
      </c>
      <c r="H28" t="s">
        <v>75</v>
      </c>
      <c r="I28" t="s">
        <v>169</v>
      </c>
      <c r="J28" t="s">
        <v>59</v>
      </c>
      <c r="K28" t="s">
        <v>110</v>
      </c>
      <c r="L28" t="s">
        <v>61</v>
      </c>
      <c r="M28" t="s">
        <v>266</v>
      </c>
      <c r="O28" t="s">
        <v>267</v>
      </c>
      <c r="P28" t="s">
        <v>64</v>
      </c>
      <c r="U28" t="s">
        <v>92</v>
      </c>
      <c r="V28" t="s">
        <v>66</v>
      </c>
      <c r="X28" t="s">
        <v>268</v>
      </c>
      <c r="Y28" t="s">
        <v>24</v>
      </c>
      <c r="AI28" t="s">
        <v>269</v>
      </c>
      <c r="AJ28" t="s">
        <v>270</v>
      </c>
      <c r="AK28" t="s">
        <v>183</v>
      </c>
      <c r="AL28">
        <v>1.29</v>
      </c>
      <c r="AM28">
        <v>24</v>
      </c>
      <c r="AN28" t="s">
        <v>84</v>
      </c>
      <c r="AO28" t="s">
        <v>271</v>
      </c>
      <c r="AR28">
        <v>23</v>
      </c>
      <c r="AS28">
        <v>14</v>
      </c>
      <c r="AT28">
        <v>22</v>
      </c>
      <c r="AU28">
        <v>0.43</v>
      </c>
      <c r="AV28">
        <v>0.93</v>
      </c>
      <c r="AW28">
        <v>0.21</v>
      </c>
      <c r="AX28">
        <v>1.57</v>
      </c>
      <c r="AY28">
        <f t="shared" si="0"/>
        <v>2.71</v>
      </c>
    </row>
    <row r="29" spans="1:51" x14ac:dyDescent="0.35">
      <c r="A29">
        <v>28</v>
      </c>
      <c r="B29" t="s">
        <v>51</v>
      </c>
      <c r="C29" t="s">
        <v>52</v>
      </c>
      <c r="D29" t="s">
        <v>177</v>
      </c>
      <c r="E29" t="s">
        <v>54</v>
      </c>
      <c r="F29" t="s">
        <v>55</v>
      </c>
      <c r="G29" t="s">
        <v>56</v>
      </c>
      <c r="H29" t="s">
        <v>75</v>
      </c>
      <c r="I29" t="s">
        <v>76</v>
      </c>
      <c r="J29" t="s">
        <v>59</v>
      </c>
      <c r="K29" t="s">
        <v>77</v>
      </c>
      <c r="L29" t="s">
        <v>61</v>
      </c>
      <c r="M29" t="s">
        <v>266</v>
      </c>
      <c r="O29" t="s">
        <v>179</v>
      </c>
      <c r="P29" t="s">
        <v>64</v>
      </c>
      <c r="U29" t="s">
        <v>92</v>
      </c>
      <c r="V29" t="s">
        <v>66</v>
      </c>
      <c r="X29" t="s">
        <v>272</v>
      </c>
      <c r="Y29" t="s">
        <v>24</v>
      </c>
      <c r="AI29" t="s">
        <v>273</v>
      </c>
      <c r="AJ29" t="s">
        <v>274</v>
      </c>
      <c r="AK29" t="s">
        <v>219</v>
      </c>
      <c r="AL29">
        <v>0.3</v>
      </c>
      <c r="AM29">
        <v>29</v>
      </c>
      <c r="AN29" t="s">
        <v>71</v>
      </c>
      <c r="AO29" t="s">
        <v>275</v>
      </c>
      <c r="AR29">
        <v>11</v>
      </c>
      <c r="AS29">
        <v>8</v>
      </c>
      <c r="AT29">
        <v>9</v>
      </c>
      <c r="AU29">
        <v>0.51</v>
      </c>
      <c r="AV29">
        <v>0.34</v>
      </c>
      <c r="AW29">
        <v>0.68</v>
      </c>
      <c r="AX29">
        <v>1.53</v>
      </c>
      <c r="AY29">
        <f t="shared" si="0"/>
        <v>2.5499999999999998</v>
      </c>
    </row>
    <row r="30" spans="1:51" x14ac:dyDescent="0.35">
      <c r="A30">
        <v>29</v>
      </c>
      <c r="B30" t="s">
        <v>51</v>
      </c>
      <c r="C30" t="s">
        <v>52</v>
      </c>
      <c r="D30" t="s">
        <v>210</v>
      </c>
      <c r="E30" t="s">
        <v>54</v>
      </c>
      <c r="F30" t="s">
        <v>55</v>
      </c>
      <c r="G30" t="s">
        <v>87</v>
      </c>
      <c r="H30" t="s">
        <v>88</v>
      </c>
      <c r="I30" t="s">
        <v>76</v>
      </c>
      <c r="J30" t="s">
        <v>59</v>
      </c>
      <c r="K30" t="s">
        <v>89</v>
      </c>
      <c r="L30" t="s">
        <v>61</v>
      </c>
      <c r="M30" t="s">
        <v>276</v>
      </c>
      <c r="O30" t="s">
        <v>277</v>
      </c>
      <c r="P30" t="s">
        <v>64</v>
      </c>
      <c r="U30" t="s">
        <v>92</v>
      </c>
      <c r="V30" t="s">
        <v>66</v>
      </c>
      <c r="X30" t="s">
        <v>278</v>
      </c>
      <c r="Y30" t="s">
        <v>24</v>
      </c>
      <c r="AI30" t="s">
        <v>279</v>
      </c>
      <c r="AJ30" t="s">
        <v>280</v>
      </c>
      <c r="AK30" t="s">
        <v>281</v>
      </c>
      <c r="AL30">
        <v>0.65</v>
      </c>
      <c r="AM30">
        <v>48</v>
      </c>
      <c r="AN30" t="s">
        <v>71</v>
      </c>
      <c r="AO30" t="s">
        <v>282</v>
      </c>
      <c r="AR30">
        <v>6</v>
      </c>
      <c r="AS30">
        <v>29</v>
      </c>
      <c r="AT30">
        <v>29</v>
      </c>
      <c r="AU30">
        <v>0.51</v>
      </c>
      <c r="AV30">
        <v>0.27</v>
      </c>
      <c r="AW30">
        <v>0.75</v>
      </c>
      <c r="AX30">
        <v>1.53</v>
      </c>
      <c r="AY30">
        <f t="shared" si="0"/>
        <v>2.5499999999999998</v>
      </c>
    </row>
    <row r="31" spans="1:51" x14ac:dyDescent="0.35">
      <c r="A31">
        <v>30</v>
      </c>
      <c r="B31" t="s">
        <v>51</v>
      </c>
      <c r="C31" t="s">
        <v>52</v>
      </c>
      <c r="D31" t="s">
        <v>53</v>
      </c>
      <c r="E31" t="s">
        <v>54</v>
      </c>
      <c r="F31" t="s">
        <v>100</v>
      </c>
      <c r="G31" t="s">
        <v>56</v>
      </c>
      <c r="H31" t="s">
        <v>88</v>
      </c>
      <c r="I31" t="s">
        <v>119</v>
      </c>
      <c r="J31" t="s">
        <v>59</v>
      </c>
      <c r="K31" t="s">
        <v>137</v>
      </c>
      <c r="L31" t="s">
        <v>146</v>
      </c>
      <c r="M31" t="s">
        <v>283</v>
      </c>
      <c r="N31">
        <v>7</v>
      </c>
      <c r="O31" t="s">
        <v>148</v>
      </c>
      <c r="P31" t="s">
        <v>149</v>
      </c>
      <c r="U31" t="s">
        <v>65</v>
      </c>
      <c r="V31" t="s">
        <v>66</v>
      </c>
      <c r="X31" t="s">
        <v>284</v>
      </c>
      <c r="Y31" t="s">
        <v>24</v>
      </c>
      <c r="AI31" t="s">
        <v>285</v>
      </c>
      <c r="AJ31" t="s">
        <v>286</v>
      </c>
      <c r="AK31" t="s">
        <v>287</v>
      </c>
      <c r="AL31">
        <v>0.66</v>
      </c>
      <c r="AM31">
        <v>64</v>
      </c>
      <c r="AN31" t="s">
        <v>71</v>
      </c>
      <c r="AO31" t="s">
        <v>288</v>
      </c>
      <c r="AR31">
        <v>3</v>
      </c>
      <c r="AS31">
        <v>2</v>
      </c>
      <c r="AT31">
        <v>12</v>
      </c>
      <c r="AU31">
        <v>0.56000000000000005</v>
      </c>
      <c r="AV31">
        <v>0.67</v>
      </c>
      <c r="AW31">
        <v>0.59</v>
      </c>
      <c r="AX31">
        <v>1.82</v>
      </c>
      <c r="AY31">
        <f t="shared" si="0"/>
        <v>3.08</v>
      </c>
    </row>
    <row r="32" spans="1:51" x14ac:dyDescent="0.35">
      <c r="A32">
        <v>31</v>
      </c>
      <c r="B32" t="s">
        <v>51</v>
      </c>
      <c r="C32" t="s">
        <v>52</v>
      </c>
      <c r="D32" t="s">
        <v>86</v>
      </c>
      <c r="E32" t="s">
        <v>54</v>
      </c>
      <c r="F32" t="s">
        <v>74</v>
      </c>
      <c r="G32" t="s">
        <v>56</v>
      </c>
      <c r="H32" t="s">
        <v>168</v>
      </c>
      <c r="I32" t="s">
        <v>169</v>
      </c>
      <c r="J32" t="s">
        <v>102</v>
      </c>
      <c r="K32" t="s">
        <v>89</v>
      </c>
      <c r="L32" t="s">
        <v>146</v>
      </c>
      <c r="M32" t="s">
        <v>289</v>
      </c>
      <c r="N32">
        <v>4</v>
      </c>
      <c r="O32" t="s">
        <v>148</v>
      </c>
      <c r="P32" t="s">
        <v>149</v>
      </c>
      <c r="U32" t="s">
        <v>65</v>
      </c>
      <c r="V32" t="s">
        <v>66</v>
      </c>
      <c r="X32" t="s">
        <v>290</v>
      </c>
      <c r="Y32" t="s">
        <v>24</v>
      </c>
      <c r="AI32" t="s">
        <v>291</v>
      </c>
      <c r="AJ32" t="s">
        <v>292</v>
      </c>
      <c r="AK32" t="s">
        <v>293</v>
      </c>
      <c r="AL32">
        <v>0.49</v>
      </c>
      <c r="AM32">
        <v>34</v>
      </c>
      <c r="AN32" t="s">
        <v>84</v>
      </c>
      <c r="AO32" t="s">
        <v>294</v>
      </c>
      <c r="AR32">
        <v>7</v>
      </c>
      <c r="AS32">
        <v>15</v>
      </c>
      <c r="AT32">
        <v>23</v>
      </c>
      <c r="AU32">
        <v>0.51</v>
      </c>
      <c r="AV32">
        <v>0.44</v>
      </c>
      <c r="AW32">
        <v>0.34</v>
      </c>
      <c r="AX32">
        <v>1.29</v>
      </c>
      <c r="AY32">
        <f t="shared" si="0"/>
        <v>2.0700000000000003</v>
      </c>
    </row>
    <row r="33" spans="1:51" x14ac:dyDescent="0.35">
      <c r="A33">
        <v>32</v>
      </c>
      <c r="B33" t="s">
        <v>51</v>
      </c>
      <c r="C33" t="s">
        <v>52</v>
      </c>
      <c r="D33" t="s">
        <v>127</v>
      </c>
      <c r="E33" t="s">
        <v>54</v>
      </c>
      <c r="F33" t="s">
        <v>55</v>
      </c>
      <c r="G33" t="s">
        <v>87</v>
      </c>
      <c r="H33" t="s">
        <v>57</v>
      </c>
      <c r="I33" t="s">
        <v>58</v>
      </c>
      <c r="J33" t="s">
        <v>59</v>
      </c>
      <c r="K33" t="s">
        <v>170</v>
      </c>
      <c r="L33" t="s">
        <v>146</v>
      </c>
      <c r="M33" t="s">
        <v>161</v>
      </c>
      <c r="N33">
        <v>10</v>
      </c>
      <c r="O33" t="s">
        <v>148</v>
      </c>
      <c r="P33" t="s">
        <v>149</v>
      </c>
      <c r="U33" t="s">
        <v>65</v>
      </c>
      <c r="V33" t="s">
        <v>66</v>
      </c>
      <c r="X33" t="s">
        <v>295</v>
      </c>
      <c r="Y33" t="s">
        <v>24</v>
      </c>
      <c r="AI33" t="s">
        <v>296</v>
      </c>
      <c r="AJ33" t="s">
        <v>297</v>
      </c>
      <c r="AK33" t="s">
        <v>298</v>
      </c>
      <c r="AL33">
        <v>0.15</v>
      </c>
      <c r="AM33">
        <v>40</v>
      </c>
      <c r="AN33" t="s">
        <v>84</v>
      </c>
      <c r="AO33" t="s">
        <v>299</v>
      </c>
      <c r="AR33">
        <v>19</v>
      </c>
      <c r="AS33">
        <v>14</v>
      </c>
      <c r="AT33">
        <v>12</v>
      </c>
      <c r="AU33">
        <v>0.68</v>
      </c>
      <c r="AV33">
        <v>0.42</v>
      </c>
      <c r="AW33">
        <v>0.6</v>
      </c>
      <c r="AX33">
        <v>1.7</v>
      </c>
      <c r="AY33">
        <f t="shared" si="0"/>
        <v>2.7199999999999998</v>
      </c>
    </row>
    <row r="34" spans="1:51" x14ac:dyDescent="0.35">
      <c r="A34">
        <v>33</v>
      </c>
      <c r="B34" t="s">
        <v>51</v>
      </c>
      <c r="C34" t="s">
        <v>52</v>
      </c>
      <c r="D34" t="s">
        <v>177</v>
      </c>
      <c r="E34" t="s">
        <v>54</v>
      </c>
      <c r="F34" t="s">
        <v>74</v>
      </c>
      <c r="G34" t="s">
        <v>101</v>
      </c>
      <c r="H34" t="s">
        <v>168</v>
      </c>
      <c r="I34" t="s">
        <v>169</v>
      </c>
      <c r="J34" t="s">
        <v>59</v>
      </c>
      <c r="K34" t="s">
        <v>211</v>
      </c>
      <c r="L34" t="s">
        <v>146</v>
      </c>
      <c r="M34" t="s">
        <v>298</v>
      </c>
      <c r="N34">
        <v>3</v>
      </c>
      <c r="O34" t="s">
        <v>148</v>
      </c>
      <c r="P34" t="s">
        <v>149</v>
      </c>
      <c r="U34" t="s">
        <v>65</v>
      </c>
      <c r="V34" t="s">
        <v>66</v>
      </c>
      <c r="X34" t="s">
        <v>300</v>
      </c>
      <c r="Y34" t="s">
        <v>24</v>
      </c>
      <c r="AI34" t="s">
        <v>301</v>
      </c>
      <c r="AJ34" t="s">
        <v>302</v>
      </c>
      <c r="AK34" t="s">
        <v>303</v>
      </c>
      <c r="AL34">
        <v>0.22</v>
      </c>
      <c r="AM34">
        <v>46</v>
      </c>
      <c r="AN34" t="s">
        <v>97</v>
      </c>
      <c r="AO34" t="s">
        <v>304</v>
      </c>
      <c r="AR34">
        <v>10</v>
      </c>
      <c r="AS34">
        <v>30</v>
      </c>
      <c r="AT34">
        <v>21</v>
      </c>
      <c r="AU34">
        <v>0.89</v>
      </c>
      <c r="AV34">
        <v>0.5</v>
      </c>
      <c r="AW34">
        <v>0.5</v>
      </c>
      <c r="AX34">
        <v>1.89</v>
      </c>
      <c r="AY34">
        <f t="shared" si="0"/>
        <v>2.8899999999999997</v>
      </c>
    </row>
    <row r="35" spans="1:51" x14ac:dyDescent="0.35">
      <c r="A35">
        <v>34</v>
      </c>
      <c r="B35" t="s">
        <v>51</v>
      </c>
      <c r="C35" t="s">
        <v>52</v>
      </c>
      <c r="D35" t="s">
        <v>210</v>
      </c>
      <c r="E35" t="s">
        <v>54</v>
      </c>
      <c r="F35" t="s">
        <v>74</v>
      </c>
      <c r="G35" t="s">
        <v>101</v>
      </c>
      <c r="H35" t="s">
        <v>88</v>
      </c>
      <c r="I35" t="s">
        <v>58</v>
      </c>
      <c r="J35" t="s">
        <v>59</v>
      </c>
      <c r="K35" t="s">
        <v>77</v>
      </c>
      <c r="L35" t="s">
        <v>61</v>
      </c>
      <c r="M35" t="s">
        <v>305</v>
      </c>
      <c r="O35" t="s">
        <v>306</v>
      </c>
      <c r="P35" t="s">
        <v>64</v>
      </c>
      <c r="U35" t="s">
        <v>65</v>
      </c>
      <c r="V35" t="s">
        <v>66</v>
      </c>
      <c r="X35" t="s">
        <v>307</v>
      </c>
      <c r="Y35" t="s">
        <v>24</v>
      </c>
      <c r="AI35" t="s">
        <v>308</v>
      </c>
      <c r="AJ35" t="s">
        <v>309</v>
      </c>
      <c r="AK35" t="s">
        <v>310</v>
      </c>
      <c r="AL35">
        <v>1.02</v>
      </c>
      <c r="AM35">
        <v>57</v>
      </c>
      <c r="AN35" t="s">
        <v>84</v>
      </c>
      <c r="AO35" t="s">
        <v>311</v>
      </c>
      <c r="AR35">
        <v>22</v>
      </c>
      <c r="AS35">
        <v>5</v>
      </c>
      <c r="AT35">
        <v>8</v>
      </c>
      <c r="AU35">
        <v>0.74</v>
      </c>
      <c r="AV35">
        <v>0.67</v>
      </c>
      <c r="AW35">
        <v>0.27</v>
      </c>
      <c r="AX35">
        <v>1.68</v>
      </c>
      <c r="AY35">
        <f t="shared" si="0"/>
        <v>2.62</v>
      </c>
    </row>
    <row r="36" spans="1:51" x14ac:dyDescent="0.35">
      <c r="A36">
        <v>35</v>
      </c>
      <c r="B36" t="s">
        <v>51</v>
      </c>
      <c r="C36" t="s">
        <v>52</v>
      </c>
      <c r="D36" t="s">
        <v>185</v>
      </c>
      <c r="E36" t="s">
        <v>54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t="s">
        <v>77</v>
      </c>
      <c r="L36" t="s">
        <v>146</v>
      </c>
      <c r="M36" t="s">
        <v>312</v>
      </c>
      <c r="N36">
        <v>6</v>
      </c>
      <c r="O36" t="s">
        <v>148</v>
      </c>
      <c r="P36" t="s">
        <v>149</v>
      </c>
      <c r="U36" t="s">
        <v>92</v>
      </c>
      <c r="V36" t="s">
        <v>66</v>
      </c>
      <c r="X36" t="s">
        <v>313</v>
      </c>
      <c r="Y36" t="s">
        <v>24</v>
      </c>
      <c r="AI36" t="s">
        <v>314</v>
      </c>
      <c r="AJ36" t="s">
        <v>315</v>
      </c>
      <c r="AK36" t="s">
        <v>316</v>
      </c>
      <c r="AL36">
        <v>1.48</v>
      </c>
      <c r="AM36">
        <v>38</v>
      </c>
      <c r="AN36" t="s">
        <v>97</v>
      </c>
      <c r="AO36" t="s">
        <v>317</v>
      </c>
      <c r="AR36">
        <v>28</v>
      </c>
      <c r="AS36">
        <v>9</v>
      </c>
      <c r="AT36">
        <v>15</v>
      </c>
      <c r="AU36">
        <v>0.39</v>
      </c>
      <c r="AV36">
        <v>0.59</v>
      </c>
      <c r="AW36">
        <v>0.6</v>
      </c>
      <c r="AX36">
        <v>1.58</v>
      </c>
      <c r="AY36">
        <f t="shared" si="0"/>
        <v>2.77</v>
      </c>
    </row>
    <row r="37" spans="1:51" x14ac:dyDescent="0.35">
      <c r="A37">
        <v>36</v>
      </c>
      <c r="B37" t="s">
        <v>51</v>
      </c>
      <c r="C37" t="s">
        <v>52</v>
      </c>
      <c r="D37" t="s">
        <v>53</v>
      </c>
      <c r="E37" t="s">
        <v>54</v>
      </c>
      <c r="F37" t="s">
        <v>74</v>
      </c>
      <c r="G37" t="s">
        <v>101</v>
      </c>
      <c r="H37" t="s">
        <v>88</v>
      </c>
      <c r="I37" t="s">
        <v>119</v>
      </c>
      <c r="J37" t="s">
        <v>102</v>
      </c>
      <c r="K37" t="s">
        <v>170</v>
      </c>
      <c r="L37" t="s">
        <v>61</v>
      </c>
      <c r="M37" t="s">
        <v>318</v>
      </c>
      <c r="O37" t="s">
        <v>319</v>
      </c>
      <c r="P37" t="s">
        <v>64</v>
      </c>
      <c r="U37" t="s">
        <v>92</v>
      </c>
      <c r="V37" t="s">
        <v>66</v>
      </c>
      <c r="X37" t="s">
        <v>320</v>
      </c>
      <c r="Y37" t="s">
        <v>24</v>
      </c>
      <c r="AI37" t="s">
        <v>321</v>
      </c>
      <c r="AJ37" t="s">
        <v>322</v>
      </c>
      <c r="AK37" t="s">
        <v>323</v>
      </c>
      <c r="AL37">
        <v>0.8</v>
      </c>
      <c r="AM37">
        <v>31</v>
      </c>
      <c r="AN37" t="s">
        <v>84</v>
      </c>
      <c r="AO37" t="s">
        <v>324</v>
      </c>
      <c r="AR37">
        <v>26</v>
      </c>
      <c r="AS37">
        <v>2</v>
      </c>
      <c r="AT37">
        <v>3</v>
      </c>
      <c r="AU37">
        <v>0.31</v>
      </c>
      <c r="AV37">
        <v>0.96</v>
      </c>
      <c r="AW37">
        <v>0.97</v>
      </c>
      <c r="AX37">
        <v>2.2400000000000002</v>
      </c>
      <c r="AY37">
        <f t="shared" si="0"/>
        <v>4.17</v>
      </c>
    </row>
    <row r="38" spans="1:51" x14ac:dyDescent="0.35">
      <c r="A38">
        <v>37</v>
      </c>
      <c r="B38" t="s">
        <v>51</v>
      </c>
      <c r="C38" t="s">
        <v>52</v>
      </c>
      <c r="D38" t="s">
        <v>325</v>
      </c>
      <c r="E38" t="s">
        <v>54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t="s">
        <v>129</v>
      </c>
      <c r="L38" t="s">
        <v>61</v>
      </c>
      <c r="M38" t="s">
        <v>266</v>
      </c>
      <c r="O38" t="s">
        <v>326</v>
      </c>
      <c r="P38" t="s">
        <v>64</v>
      </c>
      <c r="U38" t="s">
        <v>92</v>
      </c>
      <c r="V38" t="s">
        <v>66</v>
      </c>
      <c r="X38" t="s">
        <v>327</v>
      </c>
      <c r="Y38" t="s">
        <v>24</v>
      </c>
      <c r="AI38" t="s">
        <v>328</v>
      </c>
      <c r="AJ38" t="s">
        <v>329</v>
      </c>
      <c r="AK38" t="s">
        <v>330</v>
      </c>
      <c r="AL38">
        <v>1.3</v>
      </c>
      <c r="AM38">
        <v>66</v>
      </c>
      <c r="AN38" t="s">
        <v>71</v>
      </c>
      <c r="AO38" t="s">
        <v>331</v>
      </c>
      <c r="AR38">
        <v>7</v>
      </c>
      <c r="AS38">
        <v>2</v>
      </c>
      <c r="AT38">
        <v>18</v>
      </c>
      <c r="AU38">
        <v>0.66</v>
      </c>
      <c r="AV38">
        <v>0.97</v>
      </c>
      <c r="AW38">
        <v>0.64</v>
      </c>
      <c r="AX38">
        <v>2.27</v>
      </c>
      <c r="AY38">
        <f t="shared" si="0"/>
        <v>3.88</v>
      </c>
    </row>
    <row r="39" spans="1:51" x14ac:dyDescent="0.35">
      <c r="A39">
        <v>38</v>
      </c>
      <c r="B39" t="s">
        <v>51</v>
      </c>
      <c r="C39" t="s">
        <v>52</v>
      </c>
      <c r="D39" t="s">
        <v>332</v>
      </c>
      <c r="E39" t="s">
        <v>54</v>
      </c>
      <c r="F39" t="s">
        <v>100</v>
      </c>
      <c r="G39" t="s">
        <v>87</v>
      </c>
      <c r="H39" t="s">
        <v>88</v>
      </c>
      <c r="I39" t="s">
        <v>128</v>
      </c>
      <c r="J39" t="s">
        <v>59</v>
      </c>
      <c r="K39" t="s">
        <v>129</v>
      </c>
      <c r="L39" t="s">
        <v>61</v>
      </c>
      <c r="M39" t="s">
        <v>90</v>
      </c>
      <c r="O39" t="s">
        <v>333</v>
      </c>
      <c r="P39" t="s">
        <v>64</v>
      </c>
      <c r="U39" t="s">
        <v>65</v>
      </c>
      <c r="V39" t="s">
        <v>66</v>
      </c>
      <c r="X39" t="s">
        <v>334</v>
      </c>
      <c r="Y39" t="s">
        <v>24</v>
      </c>
      <c r="AI39" t="s">
        <v>335</v>
      </c>
      <c r="AJ39" t="s">
        <v>336</v>
      </c>
      <c r="AK39" t="s">
        <v>96</v>
      </c>
      <c r="AL39">
        <v>1.3</v>
      </c>
      <c r="AM39">
        <v>47</v>
      </c>
      <c r="AN39" t="s">
        <v>84</v>
      </c>
      <c r="AO39" t="s">
        <v>337</v>
      </c>
      <c r="AR39">
        <v>23</v>
      </c>
      <c r="AS39">
        <v>27</v>
      </c>
      <c r="AT39">
        <v>29</v>
      </c>
      <c r="AU39">
        <v>0.74</v>
      </c>
      <c r="AV39">
        <v>0.9</v>
      </c>
      <c r="AW39">
        <v>0.26</v>
      </c>
      <c r="AX39">
        <v>1.9</v>
      </c>
      <c r="AY39">
        <f t="shared" si="0"/>
        <v>3.06</v>
      </c>
    </row>
    <row r="40" spans="1:51" x14ac:dyDescent="0.35">
      <c r="A40">
        <v>39</v>
      </c>
      <c r="B40" t="s">
        <v>51</v>
      </c>
      <c r="C40" t="s">
        <v>52</v>
      </c>
      <c r="D40" t="s">
        <v>145</v>
      </c>
      <c r="E40" t="s">
        <v>54</v>
      </c>
      <c r="F40" t="s">
        <v>100</v>
      </c>
      <c r="G40" t="s">
        <v>101</v>
      </c>
      <c r="H40" t="s">
        <v>75</v>
      </c>
      <c r="I40" t="s">
        <v>119</v>
      </c>
      <c r="J40" t="s">
        <v>59</v>
      </c>
      <c r="K40" t="s">
        <v>129</v>
      </c>
      <c r="L40" t="s">
        <v>61</v>
      </c>
      <c r="M40" t="s">
        <v>338</v>
      </c>
      <c r="O40" t="s">
        <v>339</v>
      </c>
      <c r="P40" t="s">
        <v>64</v>
      </c>
      <c r="U40" t="s">
        <v>65</v>
      </c>
      <c r="V40" t="s">
        <v>66</v>
      </c>
      <c r="X40" t="s">
        <v>340</v>
      </c>
      <c r="Y40" t="s">
        <v>24</v>
      </c>
      <c r="AI40" t="s">
        <v>341</v>
      </c>
      <c r="AJ40" t="s">
        <v>342</v>
      </c>
      <c r="AK40" t="s">
        <v>303</v>
      </c>
      <c r="AL40">
        <v>1.1299999999999999</v>
      </c>
      <c r="AM40">
        <v>29</v>
      </c>
      <c r="AN40" t="s">
        <v>97</v>
      </c>
      <c r="AO40" t="s">
        <v>343</v>
      </c>
      <c r="AR40">
        <v>17</v>
      </c>
      <c r="AS40">
        <v>27</v>
      </c>
      <c r="AT40">
        <v>27</v>
      </c>
      <c r="AU40">
        <v>0.28000000000000003</v>
      </c>
      <c r="AV40">
        <v>0.56999999999999995</v>
      </c>
      <c r="AW40">
        <v>0.24</v>
      </c>
      <c r="AX40">
        <v>1.0900000000000001</v>
      </c>
      <c r="AY40">
        <f t="shared" si="0"/>
        <v>1.9</v>
      </c>
    </row>
    <row r="41" spans="1:51" x14ac:dyDescent="0.35">
      <c r="A41">
        <v>40</v>
      </c>
      <c r="B41" t="s">
        <v>51</v>
      </c>
      <c r="C41" t="s">
        <v>52</v>
      </c>
      <c r="D41" t="s">
        <v>145</v>
      </c>
      <c r="E41" t="s">
        <v>54</v>
      </c>
      <c r="F41" t="s">
        <v>74</v>
      </c>
      <c r="G41" t="s">
        <v>56</v>
      </c>
      <c r="H41" t="s">
        <v>88</v>
      </c>
      <c r="I41" t="s">
        <v>76</v>
      </c>
      <c r="J41" t="s">
        <v>59</v>
      </c>
      <c r="K41" t="s">
        <v>137</v>
      </c>
      <c r="L41" t="s">
        <v>61</v>
      </c>
      <c r="M41" t="s">
        <v>116</v>
      </c>
      <c r="O41" t="s">
        <v>344</v>
      </c>
      <c r="P41" t="s">
        <v>64</v>
      </c>
      <c r="U41" t="s">
        <v>65</v>
      </c>
      <c r="V41" t="s">
        <v>66</v>
      </c>
      <c r="X41" t="s">
        <v>345</v>
      </c>
      <c r="Y41" t="s">
        <v>24</v>
      </c>
      <c r="AI41" t="s">
        <v>346</v>
      </c>
      <c r="AJ41" t="s">
        <v>347</v>
      </c>
      <c r="AK41" t="s">
        <v>348</v>
      </c>
      <c r="AL41">
        <v>0.28000000000000003</v>
      </c>
      <c r="AM41">
        <v>22</v>
      </c>
      <c r="AN41" t="s">
        <v>84</v>
      </c>
      <c r="AO41" t="s">
        <v>349</v>
      </c>
      <c r="AR41">
        <v>27</v>
      </c>
      <c r="AS41">
        <v>8</v>
      </c>
      <c r="AT41">
        <v>22</v>
      </c>
      <c r="AU41">
        <v>0.27</v>
      </c>
      <c r="AV41">
        <v>0.19</v>
      </c>
      <c r="AW41">
        <v>0.44</v>
      </c>
      <c r="AX41">
        <v>0.9</v>
      </c>
      <c r="AY41">
        <f t="shared" si="0"/>
        <v>1.53</v>
      </c>
    </row>
    <row r="42" spans="1:51" x14ac:dyDescent="0.35">
      <c r="A42">
        <v>41</v>
      </c>
      <c r="B42" t="s">
        <v>51</v>
      </c>
      <c r="C42" t="s">
        <v>52</v>
      </c>
      <c r="D42" t="s">
        <v>246</v>
      </c>
      <c r="E42" t="s">
        <v>54</v>
      </c>
      <c r="F42" t="s">
        <v>74</v>
      </c>
      <c r="G42" t="s">
        <v>101</v>
      </c>
      <c r="H42" t="s">
        <v>57</v>
      </c>
      <c r="I42" t="s">
        <v>169</v>
      </c>
      <c r="J42" t="s">
        <v>102</v>
      </c>
      <c r="K42" t="s">
        <v>226</v>
      </c>
      <c r="L42" t="s">
        <v>146</v>
      </c>
      <c r="M42" t="s">
        <v>131</v>
      </c>
      <c r="N42">
        <v>8</v>
      </c>
      <c r="O42" t="s">
        <v>148</v>
      </c>
      <c r="P42" t="s">
        <v>149</v>
      </c>
      <c r="U42" t="s">
        <v>65</v>
      </c>
      <c r="V42" t="s">
        <v>66</v>
      </c>
      <c r="X42" t="s">
        <v>350</v>
      </c>
      <c r="Y42" t="s">
        <v>24</v>
      </c>
      <c r="AI42" t="s">
        <v>351</v>
      </c>
      <c r="AJ42" t="s">
        <v>352</v>
      </c>
      <c r="AK42" t="s">
        <v>353</v>
      </c>
      <c r="AL42">
        <v>1.28</v>
      </c>
      <c r="AM42">
        <v>69</v>
      </c>
      <c r="AN42" t="s">
        <v>84</v>
      </c>
      <c r="AO42" t="s">
        <v>354</v>
      </c>
      <c r="AR42">
        <v>16</v>
      </c>
      <c r="AS42">
        <v>27</v>
      </c>
      <c r="AT42">
        <v>28</v>
      </c>
      <c r="AU42">
        <v>0.19</v>
      </c>
      <c r="AV42">
        <v>0.47</v>
      </c>
      <c r="AW42">
        <v>0.43</v>
      </c>
      <c r="AX42">
        <v>1.0900000000000001</v>
      </c>
      <c r="AY42">
        <f t="shared" si="0"/>
        <v>1.99</v>
      </c>
    </row>
    <row r="43" spans="1:51" x14ac:dyDescent="0.35">
      <c r="A43">
        <v>42</v>
      </c>
      <c r="B43" t="s">
        <v>51</v>
      </c>
      <c r="C43" t="s">
        <v>52</v>
      </c>
      <c r="D43" t="s">
        <v>202</v>
      </c>
      <c r="E43" t="s">
        <v>54</v>
      </c>
      <c r="F43" t="s">
        <v>100</v>
      </c>
      <c r="G43" t="s">
        <v>87</v>
      </c>
      <c r="H43" t="s">
        <v>88</v>
      </c>
      <c r="I43" t="s">
        <v>76</v>
      </c>
      <c r="J43" t="s">
        <v>102</v>
      </c>
      <c r="K43" t="s">
        <v>137</v>
      </c>
      <c r="L43" t="s">
        <v>61</v>
      </c>
      <c r="M43" t="s">
        <v>155</v>
      </c>
      <c r="O43" t="s">
        <v>219</v>
      </c>
      <c r="P43" t="s">
        <v>64</v>
      </c>
      <c r="U43" t="s">
        <v>92</v>
      </c>
      <c r="V43" t="s">
        <v>66</v>
      </c>
      <c r="X43" t="s">
        <v>355</v>
      </c>
      <c r="Y43" t="s">
        <v>24</v>
      </c>
      <c r="AI43" t="s">
        <v>356</v>
      </c>
      <c r="AJ43" t="s">
        <v>357</v>
      </c>
      <c r="AK43" t="s">
        <v>358</v>
      </c>
      <c r="AL43">
        <v>1.1200000000000001</v>
      </c>
      <c r="AM43">
        <v>67</v>
      </c>
      <c r="AN43" t="s">
        <v>97</v>
      </c>
      <c r="AO43" t="s">
        <v>359</v>
      </c>
      <c r="AR43">
        <v>18</v>
      </c>
      <c r="AS43">
        <v>12</v>
      </c>
      <c r="AT43">
        <v>12</v>
      </c>
      <c r="AU43">
        <v>0.73</v>
      </c>
      <c r="AV43">
        <v>0.63</v>
      </c>
      <c r="AW43">
        <v>0.12</v>
      </c>
      <c r="AX43">
        <v>1.48</v>
      </c>
      <c r="AY43">
        <f t="shared" si="0"/>
        <v>2.23</v>
      </c>
    </row>
    <row r="44" spans="1:51" x14ac:dyDescent="0.35">
      <c r="A44">
        <v>43</v>
      </c>
      <c r="B44" t="s">
        <v>51</v>
      </c>
      <c r="C44" t="s">
        <v>52</v>
      </c>
      <c r="D44" t="s">
        <v>325</v>
      </c>
      <c r="E44" t="s">
        <v>54</v>
      </c>
      <c r="F44" t="s">
        <v>100</v>
      </c>
      <c r="G44" t="s">
        <v>56</v>
      </c>
      <c r="H44" t="s">
        <v>88</v>
      </c>
      <c r="I44" t="s">
        <v>58</v>
      </c>
      <c r="J44" t="s">
        <v>59</v>
      </c>
      <c r="K44" t="s">
        <v>129</v>
      </c>
      <c r="L44" t="s">
        <v>61</v>
      </c>
      <c r="M44" t="s">
        <v>204</v>
      </c>
      <c r="O44" t="s">
        <v>240</v>
      </c>
      <c r="P44" t="s">
        <v>64</v>
      </c>
      <c r="U44" t="s">
        <v>65</v>
      </c>
      <c r="V44" t="s">
        <v>66</v>
      </c>
      <c r="X44" t="s">
        <v>360</v>
      </c>
      <c r="Y44" t="s">
        <v>24</v>
      </c>
      <c r="AI44" t="s">
        <v>361</v>
      </c>
      <c r="AJ44" t="s">
        <v>362</v>
      </c>
      <c r="AK44" t="s">
        <v>363</v>
      </c>
      <c r="AL44">
        <v>1.36</v>
      </c>
      <c r="AM44">
        <v>29</v>
      </c>
      <c r="AN44" t="s">
        <v>71</v>
      </c>
      <c r="AO44" t="s">
        <v>364</v>
      </c>
      <c r="AR44">
        <v>29</v>
      </c>
      <c r="AS44">
        <v>23</v>
      </c>
      <c r="AT44">
        <v>27</v>
      </c>
      <c r="AU44">
        <v>0.75</v>
      </c>
      <c r="AV44">
        <v>0.88</v>
      </c>
      <c r="AW44">
        <v>0.16</v>
      </c>
      <c r="AX44">
        <v>1.79</v>
      </c>
      <c r="AY44">
        <f t="shared" si="0"/>
        <v>2.83</v>
      </c>
    </row>
    <row r="45" spans="1:51" x14ac:dyDescent="0.35">
      <c r="A45">
        <v>44</v>
      </c>
      <c r="B45" t="s">
        <v>51</v>
      </c>
      <c r="C45" t="s">
        <v>52</v>
      </c>
      <c r="D45" t="s">
        <v>192</v>
      </c>
      <c r="E45" t="s">
        <v>54</v>
      </c>
      <c r="F45" t="s">
        <v>55</v>
      </c>
      <c r="G45" t="s">
        <v>56</v>
      </c>
      <c r="H45" t="s">
        <v>57</v>
      </c>
      <c r="I45" t="s">
        <v>128</v>
      </c>
      <c r="J45" t="s">
        <v>59</v>
      </c>
      <c r="K45" t="s">
        <v>170</v>
      </c>
      <c r="L45" t="s">
        <v>146</v>
      </c>
      <c r="M45" t="s">
        <v>203</v>
      </c>
      <c r="N45">
        <v>2</v>
      </c>
      <c r="O45" t="s">
        <v>148</v>
      </c>
      <c r="P45" t="s">
        <v>149</v>
      </c>
      <c r="U45" t="s">
        <v>92</v>
      </c>
      <c r="V45" t="s">
        <v>66</v>
      </c>
      <c r="X45" t="s">
        <v>365</v>
      </c>
      <c r="Y45" t="s">
        <v>24</v>
      </c>
      <c r="AI45" t="s">
        <v>366</v>
      </c>
      <c r="AJ45" t="s">
        <v>367</v>
      </c>
      <c r="AK45" t="s">
        <v>143</v>
      </c>
      <c r="AL45">
        <v>1.17</v>
      </c>
      <c r="AM45">
        <v>61</v>
      </c>
      <c r="AN45" t="s">
        <v>97</v>
      </c>
      <c r="AO45" t="s">
        <v>368</v>
      </c>
      <c r="AR45">
        <v>16</v>
      </c>
      <c r="AS45">
        <v>28</v>
      </c>
      <c r="AT45">
        <v>13</v>
      </c>
      <c r="AU45">
        <v>0.54</v>
      </c>
      <c r="AV45">
        <v>0.42</v>
      </c>
      <c r="AW45">
        <v>0.64</v>
      </c>
      <c r="AX45">
        <v>1.6</v>
      </c>
      <c r="AY45">
        <f t="shared" si="0"/>
        <v>2.66</v>
      </c>
    </row>
    <row r="46" spans="1:51" x14ac:dyDescent="0.35">
      <c r="A46">
        <v>45</v>
      </c>
      <c r="B46" t="s">
        <v>51</v>
      </c>
      <c r="C46" t="s">
        <v>52</v>
      </c>
      <c r="D46" t="s">
        <v>192</v>
      </c>
      <c r="E46" t="s">
        <v>54</v>
      </c>
      <c r="F46" t="s">
        <v>55</v>
      </c>
      <c r="G46" t="s">
        <v>101</v>
      </c>
      <c r="H46" t="s">
        <v>57</v>
      </c>
      <c r="I46" t="s">
        <v>58</v>
      </c>
      <c r="J46" t="s">
        <v>59</v>
      </c>
      <c r="K46" t="s">
        <v>211</v>
      </c>
      <c r="L46" t="s">
        <v>61</v>
      </c>
      <c r="M46" t="s">
        <v>121</v>
      </c>
      <c r="O46" t="s">
        <v>187</v>
      </c>
      <c r="P46" t="s">
        <v>64</v>
      </c>
      <c r="U46" t="s">
        <v>65</v>
      </c>
      <c r="V46" t="s">
        <v>66</v>
      </c>
      <c r="X46" t="s">
        <v>369</v>
      </c>
      <c r="Y46" t="s">
        <v>24</v>
      </c>
      <c r="AI46" t="s">
        <v>370</v>
      </c>
      <c r="AJ46" t="s">
        <v>371</v>
      </c>
      <c r="AK46" t="s">
        <v>372</v>
      </c>
      <c r="AL46">
        <v>0.76</v>
      </c>
      <c r="AM46">
        <v>30</v>
      </c>
      <c r="AN46" t="s">
        <v>97</v>
      </c>
      <c r="AO46" t="s">
        <v>373</v>
      </c>
      <c r="AR46">
        <v>4</v>
      </c>
      <c r="AS46">
        <v>19</v>
      </c>
      <c r="AT46">
        <v>7</v>
      </c>
      <c r="AU46">
        <v>0.96</v>
      </c>
      <c r="AV46">
        <v>0.37</v>
      </c>
      <c r="AW46">
        <v>0.96</v>
      </c>
      <c r="AX46">
        <v>2.29</v>
      </c>
      <c r="AY46">
        <f t="shared" si="0"/>
        <v>3.62</v>
      </c>
    </row>
    <row r="47" spans="1:51" x14ac:dyDescent="0.35">
      <c r="A47">
        <v>46</v>
      </c>
      <c r="B47" t="s">
        <v>51</v>
      </c>
      <c r="C47" t="s">
        <v>52</v>
      </c>
      <c r="D47" t="s">
        <v>374</v>
      </c>
      <c r="E47" t="s">
        <v>54</v>
      </c>
      <c r="F47" t="s">
        <v>55</v>
      </c>
      <c r="G47" t="s">
        <v>56</v>
      </c>
      <c r="H47" t="s">
        <v>168</v>
      </c>
      <c r="I47" t="s">
        <v>76</v>
      </c>
      <c r="J47" t="s">
        <v>59</v>
      </c>
      <c r="K47" t="s">
        <v>60</v>
      </c>
      <c r="L47" t="s">
        <v>146</v>
      </c>
      <c r="M47" t="s">
        <v>375</v>
      </c>
      <c r="N47">
        <v>3</v>
      </c>
      <c r="O47" t="s">
        <v>148</v>
      </c>
      <c r="P47" t="s">
        <v>149</v>
      </c>
      <c r="U47" t="s">
        <v>92</v>
      </c>
      <c r="V47" t="s">
        <v>66</v>
      </c>
      <c r="X47" t="s">
        <v>376</v>
      </c>
      <c r="Y47" t="s">
        <v>24</v>
      </c>
      <c r="AI47" t="s">
        <v>377</v>
      </c>
      <c r="AJ47" t="s">
        <v>378</v>
      </c>
      <c r="AK47" t="s">
        <v>379</v>
      </c>
      <c r="AL47">
        <v>1.26</v>
      </c>
      <c r="AM47">
        <v>21</v>
      </c>
      <c r="AN47" t="s">
        <v>84</v>
      </c>
      <c r="AO47" t="s">
        <v>380</v>
      </c>
      <c r="AR47">
        <v>6</v>
      </c>
      <c r="AS47">
        <v>28</v>
      </c>
      <c r="AT47">
        <v>11</v>
      </c>
      <c r="AU47">
        <v>0.13</v>
      </c>
      <c r="AV47">
        <v>0.77</v>
      </c>
      <c r="AW47">
        <v>0.51</v>
      </c>
      <c r="AX47">
        <v>1.41</v>
      </c>
      <c r="AY47">
        <f t="shared" si="0"/>
        <v>2.69</v>
      </c>
    </row>
    <row r="48" spans="1:51" x14ac:dyDescent="0.35">
      <c r="A48">
        <v>47</v>
      </c>
      <c r="B48" t="s">
        <v>51</v>
      </c>
      <c r="C48" t="s">
        <v>52</v>
      </c>
      <c r="D48" t="s">
        <v>381</v>
      </c>
      <c r="E48" t="s">
        <v>54</v>
      </c>
      <c r="F48" t="s">
        <v>74</v>
      </c>
      <c r="G48" t="s">
        <v>56</v>
      </c>
      <c r="H48" t="s">
        <v>75</v>
      </c>
      <c r="I48" t="s">
        <v>169</v>
      </c>
      <c r="J48" t="s">
        <v>59</v>
      </c>
      <c r="K48" t="s">
        <v>77</v>
      </c>
      <c r="L48" t="s">
        <v>146</v>
      </c>
      <c r="M48" t="s">
        <v>318</v>
      </c>
      <c r="N48">
        <v>6</v>
      </c>
      <c r="O48" t="s">
        <v>148</v>
      </c>
      <c r="P48" t="s">
        <v>149</v>
      </c>
      <c r="U48" t="s">
        <v>92</v>
      </c>
      <c r="V48" t="s">
        <v>66</v>
      </c>
      <c r="X48" t="s">
        <v>382</v>
      </c>
      <c r="Y48" t="s">
        <v>24</v>
      </c>
      <c r="AI48" t="s">
        <v>383</v>
      </c>
      <c r="AJ48" t="s">
        <v>384</v>
      </c>
      <c r="AK48" t="s">
        <v>385</v>
      </c>
      <c r="AL48">
        <v>1.07</v>
      </c>
      <c r="AM48">
        <v>47</v>
      </c>
      <c r="AN48" t="s">
        <v>97</v>
      </c>
      <c r="AO48" t="s">
        <v>386</v>
      </c>
      <c r="AR48">
        <v>9</v>
      </c>
      <c r="AS48">
        <v>24</v>
      </c>
      <c r="AT48">
        <v>16</v>
      </c>
      <c r="AU48">
        <v>0.27</v>
      </c>
      <c r="AV48">
        <v>0.92</v>
      </c>
      <c r="AW48">
        <v>0.87</v>
      </c>
      <c r="AX48">
        <v>2.06</v>
      </c>
      <c r="AY48">
        <f t="shared" si="0"/>
        <v>3.85</v>
      </c>
    </row>
    <row r="49" spans="1:51" x14ac:dyDescent="0.35">
      <c r="A49">
        <v>48</v>
      </c>
      <c r="B49" t="s">
        <v>51</v>
      </c>
      <c r="C49" t="s">
        <v>52</v>
      </c>
      <c r="D49" t="s">
        <v>202</v>
      </c>
      <c r="E49" t="s">
        <v>54</v>
      </c>
      <c r="F49" t="s">
        <v>100</v>
      </c>
      <c r="G49" t="s">
        <v>101</v>
      </c>
      <c r="H49" t="s">
        <v>75</v>
      </c>
      <c r="I49" t="s">
        <v>58</v>
      </c>
      <c r="J49" t="s">
        <v>59</v>
      </c>
      <c r="K49" t="s">
        <v>89</v>
      </c>
      <c r="L49" t="s">
        <v>61</v>
      </c>
      <c r="M49" t="s">
        <v>358</v>
      </c>
      <c r="O49" t="s">
        <v>121</v>
      </c>
      <c r="P49" t="s">
        <v>64</v>
      </c>
      <c r="U49" t="s">
        <v>92</v>
      </c>
      <c r="V49" t="s">
        <v>66</v>
      </c>
      <c r="X49" t="s">
        <v>387</v>
      </c>
      <c r="Y49" t="s">
        <v>24</v>
      </c>
      <c r="AI49" t="s">
        <v>388</v>
      </c>
      <c r="AJ49" t="s">
        <v>389</v>
      </c>
      <c r="AK49" t="s">
        <v>130</v>
      </c>
      <c r="AL49">
        <v>1.1299999999999999</v>
      </c>
      <c r="AM49">
        <v>56</v>
      </c>
      <c r="AN49" t="s">
        <v>97</v>
      </c>
      <c r="AO49" t="s">
        <v>390</v>
      </c>
      <c r="AR49">
        <v>4</v>
      </c>
      <c r="AS49">
        <v>13</v>
      </c>
      <c r="AT49">
        <v>7</v>
      </c>
      <c r="AU49">
        <v>0.27</v>
      </c>
      <c r="AV49">
        <v>0.47</v>
      </c>
      <c r="AW49">
        <v>0.43</v>
      </c>
      <c r="AX49">
        <v>1.17</v>
      </c>
      <c r="AY49">
        <f t="shared" si="0"/>
        <v>2.0699999999999998</v>
      </c>
    </row>
    <row r="50" spans="1:51" x14ac:dyDescent="0.35">
      <c r="A50">
        <v>49</v>
      </c>
      <c r="B50" t="s">
        <v>51</v>
      </c>
      <c r="C50" t="s">
        <v>52</v>
      </c>
      <c r="D50" t="s">
        <v>118</v>
      </c>
      <c r="E50" t="s">
        <v>54</v>
      </c>
      <c r="F50" t="s">
        <v>55</v>
      </c>
      <c r="G50" t="s">
        <v>101</v>
      </c>
      <c r="H50" t="s">
        <v>88</v>
      </c>
      <c r="I50" t="s">
        <v>58</v>
      </c>
      <c r="J50" t="s">
        <v>59</v>
      </c>
      <c r="K50" t="s">
        <v>137</v>
      </c>
      <c r="L50" t="s">
        <v>61</v>
      </c>
      <c r="M50" t="s">
        <v>121</v>
      </c>
      <c r="O50" t="s">
        <v>116</v>
      </c>
      <c r="P50" t="s">
        <v>64</v>
      </c>
      <c r="U50" t="s">
        <v>92</v>
      </c>
      <c r="V50" t="s">
        <v>66</v>
      </c>
      <c r="X50" t="s">
        <v>391</v>
      </c>
      <c r="Y50" t="s">
        <v>24</v>
      </c>
      <c r="AI50" t="s">
        <v>392</v>
      </c>
      <c r="AJ50" t="s">
        <v>393</v>
      </c>
      <c r="AK50" t="s">
        <v>394</v>
      </c>
      <c r="AL50">
        <v>0.36</v>
      </c>
      <c r="AM50">
        <v>33</v>
      </c>
      <c r="AN50" t="s">
        <v>84</v>
      </c>
      <c r="AO50" t="s">
        <v>395</v>
      </c>
      <c r="AR50">
        <v>6</v>
      </c>
      <c r="AS50">
        <v>7</v>
      </c>
      <c r="AT50">
        <v>29</v>
      </c>
      <c r="AU50">
        <v>0.18</v>
      </c>
      <c r="AV50">
        <v>0.87</v>
      </c>
      <c r="AW50">
        <v>0.94</v>
      </c>
      <c r="AX50">
        <v>1.99</v>
      </c>
      <c r="AY50">
        <f t="shared" si="0"/>
        <v>3.8</v>
      </c>
    </row>
    <row r="51" spans="1:51" x14ac:dyDescent="0.35">
      <c r="A51">
        <v>50</v>
      </c>
      <c r="B51" t="s">
        <v>51</v>
      </c>
      <c r="C51" t="s">
        <v>52</v>
      </c>
      <c r="D51" t="s">
        <v>99</v>
      </c>
      <c r="E51" t="s">
        <v>54</v>
      </c>
      <c r="F51" t="s">
        <v>74</v>
      </c>
      <c r="G51" t="s">
        <v>87</v>
      </c>
      <c r="H51" t="s">
        <v>88</v>
      </c>
      <c r="I51" t="s">
        <v>119</v>
      </c>
      <c r="J51" t="s">
        <v>102</v>
      </c>
      <c r="K51" t="s">
        <v>77</v>
      </c>
      <c r="L51" t="s">
        <v>61</v>
      </c>
      <c r="M51" t="s">
        <v>396</v>
      </c>
      <c r="O51" t="s">
        <v>353</v>
      </c>
      <c r="P51" t="s">
        <v>64</v>
      </c>
      <c r="U51" t="s">
        <v>92</v>
      </c>
      <c r="V51" t="s">
        <v>66</v>
      </c>
      <c r="X51" t="s">
        <v>397</v>
      </c>
      <c r="Y51" t="s">
        <v>24</v>
      </c>
      <c r="AI51" t="s">
        <v>398</v>
      </c>
      <c r="AJ51" t="s">
        <v>399</v>
      </c>
      <c r="AK51" t="s">
        <v>135</v>
      </c>
      <c r="AL51">
        <v>0.7</v>
      </c>
      <c r="AM51">
        <v>21</v>
      </c>
      <c r="AN51" t="s">
        <v>71</v>
      </c>
      <c r="AO51" t="s">
        <v>400</v>
      </c>
      <c r="AR51">
        <v>14</v>
      </c>
      <c r="AS51">
        <v>26</v>
      </c>
      <c r="AT51">
        <v>22</v>
      </c>
      <c r="AU51">
        <v>0.1</v>
      </c>
      <c r="AV51">
        <v>0.89</v>
      </c>
      <c r="AW51">
        <v>0.36</v>
      </c>
      <c r="AX51">
        <v>1.35</v>
      </c>
      <c r="AY51">
        <f t="shared" si="0"/>
        <v>2.6</v>
      </c>
    </row>
    <row r="52" spans="1:51" x14ac:dyDescent="0.35">
      <c r="A52">
        <v>51</v>
      </c>
      <c r="B52" t="s">
        <v>51</v>
      </c>
      <c r="C52" t="s">
        <v>52</v>
      </c>
      <c r="D52" t="s">
        <v>177</v>
      </c>
      <c r="E52" t="s">
        <v>54</v>
      </c>
      <c r="F52" t="s">
        <v>100</v>
      </c>
      <c r="G52" t="s">
        <v>56</v>
      </c>
      <c r="H52" t="s">
        <v>88</v>
      </c>
      <c r="I52" t="s">
        <v>169</v>
      </c>
      <c r="J52" t="s">
        <v>102</v>
      </c>
      <c r="K52" t="s">
        <v>211</v>
      </c>
      <c r="L52" t="s">
        <v>146</v>
      </c>
      <c r="M52" t="s">
        <v>401</v>
      </c>
      <c r="N52">
        <v>10</v>
      </c>
      <c r="O52" t="s">
        <v>148</v>
      </c>
      <c r="P52" t="s">
        <v>149</v>
      </c>
      <c r="U52" t="s">
        <v>65</v>
      </c>
      <c r="V52" t="s">
        <v>66</v>
      </c>
      <c r="X52" t="s">
        <v>402</v>
      </c>
      <c r="Y52" t="s">
        <v>24</v>
      </c>
      <c r="AI52" t="s">
        <v>403</v>
      </c>
      <c r="AJ52" t="s">
        <v>404</v>
      </c>
      <c r="AK52" t="s">
        <v>219</v>
      </c>
      <c r="AL52">
        <v>1.37</v>
      </c>
      <c r="AM52">
        <v>47</v>
      </c>
      <c r="AN52" t="s">
        <v>84</v>
      </c>
      <c r="AO52" t="s">
        <v>405</v>
      </c>
      <c r="AR52">
        <v>3</v>
      </c>
      <c r="AS52">
        <v>10</v>
      </c>
      <c r="AT52">
        <v>22</v>
      </c>
      <c r="AU52">
        <v>0.66</v>
      </c>
      <c r="AV52">
        <v>0.54</v>
      </c>
      <c r="AW52">
        <v>0.47</v>
      </c>
      <c r="AX52">
        <v>1.67</v>
      </c>
      <c r="AY52">
        <f t="shared" si="0"/>
        <v>2.6799999999999997</v>
      </c>
    </row>
    <row r="53" spans="1:51" x14ac:dyDescent="0.35">
      <c r="A53">
        <v>52</v>
      </c>
      <c r="B53" t="s">
        <v>51</v>
      </c>
      <c r="C53" t="s">
        <v>52</v>
      </c>
      <c r="D53" t="s">
        <v>185</v>
      </c>
      <c r="E53" t="s">
        <v>54</v>
      </c>
      <c r="F53" t="s">
        <v>100</v>
      </c>
      <c r="G53" t="s">
        <v>87</v>
      </c>
      <c r="H53" t="s">
        <v>75</v>
      </c>
      <c r="I53" t="s">
        <v>119</v>
      </c>
      <c r="J53" t="s">
        <v>102</v>
      </c>
      <c r="K53" t="s">
        <v>120</v>
      </c>
      <c r="L53" t="s">
        <v>146</v>
      </c>
      <c r="M53" t="s">
        <v>266</v>
      </c>
      <c r="N53">
        <v>3</v>
      </c>
      <c r="O53" t="s">
        <v>148</v>
      </c>
      <c r="P53" t="s">
        <v>149</v>
      </c>
      <c r="U53" t="s">
        <v>92</v>
      </c>
      <c r="V53" t="s">
        <v>66</v>
      </c>
      <c r="X53" t="s">
        <v>406</v>
      </c>
      <c r="Y53" t="s">
        <v>24</v>
      </c>
      <c r="AI53" t="s">
        <v>407</v>
      </c>
      <c r="AJ53" t="s">
        <v>408</v>
      </c>
      <c r="AK53" t="s">
        <v>409</v>
      </c>
      <c r="AL53">
        <v>0.61</v>
      </c>
      <c r="AM53">
        <v>30</v>
      </c>
      <c r="AN53" t="s">
        <v>71</v>
      </c>
      <c r="AO53" t="s">
        <v>410</v>
      </c>
      <c r="AR53">
        <v>8</v>
      </c>
      <c r="AS53">
        <v>27</v>
      </c>
      <c r="AT53">
        <v>23</v>
      </c>
      <c r="AU53">
        <v>0.91</v>
      </c>
      <c r="AV53">
        <v>0.87</v>
      </c>
      <c r="AW53">
        <v>0.76</v>
      </c>
      <c r="AX53">
        <v>2.54</v>
      </c>
      <c r="AY53">
        <f t="shared" si="0"/>
        <v>4.17</v>
      </c>
    </row>
    <row r="54" spans="1:51" x14ac:dyDescent="0.35">
      <c r="A54">
        <v>53</v>
      </c>
      <c r="B54" t="s">
        <v>51</v>
      </c>
      <c r="C54" t="s">
        <v>52</v>
      </c>
      <c r="D54" t="s">
        <v>167</v>
      </c>
      <c r="E54" t="s">
        <v>54</v>
      </c>
      <c r="F54" t="s">
        <v>55</v>
      </c>
      <c r="G54" t="s">
        <v>87</v>
      </c>
      <c r="H54" t="s">
        <v>88</v>
      </c>
      <c r="I54" t="s">
        <v>58</v>
      </c>
      <c r="J54" t="s">
        <v>59</v>
      </c>
      <c r="K54" t="s">
        <v>129</v>
      </c>
      <c r="L54" t="s">
        <v>146</v>
      </c>
      <c r="M54" t="s">
        <v>409</v>
      </c>
      <c r="N54">
        <v>2</v>
      </c>
      <c r="O54" t="s">
        <v>148</v>
      </c>
      <c r="P54" t="s">
        <v>149</v>
      </c>
      <c r="U54" t="s">
        <v>92</v>
      </c>
      <c r="V54" t="s">
        <v>66</v>
      </c>
      <c r="X54" t="s">
        <v>411</v>
      </c>
      <c r="Y54" t="s">
        <v>24</v>
      </c>
      <c r="AI54" t="s">
        <v>412</v>
      </c>
      <c r="AJ54" t="s">
        <v>413</v>
      </c>
      <c r="AK54" t="s">
        <v>414</v>
      </c>
      <c r="AL54">
        <v>0.21</v>
      </c>
      <c r="AM54">
        <v>69</v>
      </c>
      <c r="AN54" t="s">
        <v>84</v>
      </c>
      <c r="AO54" t="s">
        <v>415</v>
      </c>
      <c r="AR54">
        <v>13</v>
      </c>
      <c r="AS54">
        <v>19</v>
      </c>
      <c r="AT54">
        <v>14</v>
      </c>
      <c r="AU54">
        <v>0.36</v>
      </c>
      <c r="AV54">
        <v>0.24</v>
      </c>
      <c r="AW54">
        <v>0.8</v>
      </c>
      <c r="AX54">
        <v>1.4</v>
      </c>
      <c r="AY54">
        <f t="shared" si="0"/>
        <v>2.44</v>
      </c>
    </row>
    <row r="55" spans="1:51" x14ac:dyDescent="0.35">
      <c r="A55">
        <v>54</v>
      </c>
      <c r="B55" t="s">
        <v>51</v>
      </c>
      <c r="C55" t="s">
        <v>52</v>
      </c>
      <c r="D55" t="s">
        <v>202</v>
      </c>
      <c r="E55" t="s">
        <v>54</v>
      </c>
      <c r="F55" t="s">
        <v>74</v>
      </c>
      <c r="G55" t="s">
        <v>87</v>
      </c>
      <c r="H55" t="s">
        <v>57</v>
      </c>
      <c r="I55" t="s">
        <v>119</v>
      </c>
      <c r="J55" t="s">
        <v>59</v>
      </c>
      <c r="K55" t="s">
        <v>120</v>
      </c>
      <c r="L55" t="s">
        <v>146</v>
      </c>
      <c r="M55" t="s">
        <v>259</v>
      </c>
      <c r="N55">
        <v>8</v>
      </c>
      <c r="O55" t="s">
        <v>148</v>
      </c>
      <c r="P55" t="s">
        <v>149</v>
      </c>
      <c r="U55" t="s">
        <v>92</v>
      </c>
      <c r="V55" t="s">
        <v>66</v>
      </c>
      <c r="X55" t="s">
        <v>416</v>
      </c>
      <c r="Y55" t="s">
        <v>24</v>
      </c>
      <c r="AI55" t="s">
        <v>417</v>
      </c>
      <c r="AJ55" t="s">
        <v>418</v>
      </c>
      <c r="AK55" t="s">
        <v>310</v>
      </c>
      <c r="AL55">
        <v>0.3</v>
      </c>
      <c r="AM55">
        <v>67</v>
      </c>
      <c r="AN55" t="s">
        <v>97</v>
      </c>
      <c r="AO55" t="s">
        <v>419</v>
      </c>
      <c r="AR55">
        <v>20</v>
      </c>
      <c r="AS55">
        <v>29</v>
      </c>
      <c r="AT55">
        <v>15</v>
      </c>
      <c r="AU55">
        <v>0.6</v>
      </c>
      <c r="AV55">
        <v>0.65</v>
      </c>
      <c r="AW55">
        <v>0.98</v>
      </c>
      <c r="AX55">
        <v>2.23</v>
      </c>
      <c r="AY55">
        <f t="shared" si="0"/>
        <v>3.86</v>
      </c>
    </row>
    <row r="56" spans="1:51" x14ac:dyDescent="0.35">
      <c r="A56">
        <v>55</v>
      </c>
      <c r="B56" t="s">
        <v>51</v>
      </c>
      <c r="C56" t="s">
        <v>52</v>
      </c>
      <c r="D56" t="s">
        <v>238</v>
      </c>
      <c r="E56" t="s">
        <v>54</v>
      </c>
      <c r="F56" t="s">
        <v>100</v>
      </c>
      <c r="G56" t="s">
        <v>56</v>
      </c>
      <c r="H56" t="s">
        <v>88</v>
      </c>
      <c r="I56" t="s">
        <v>76</v>
      </c>
      <c r="J56" t="s">
        <v>59</v>
      </c>
      <c r="K56" t="s">
        <v>211</v>
      </c>
      <c r="L56" t="s">
        <v>146</v>
      </c>
      <c r="M56" t="s">
        <v>138</v>
      </c>
      <c r="N56">
        <v>1</v>
      </c>
      <c r="O56" t="s">
        <v>148</v>
      </c>
      <c r="P56" t="s">
        <v>149</v>
      </c>
      <c r="U56" t="s">
        <v>65</v>
      </c>
      <c r="V56" t="s">
        <v>66</v>
      </c>
      <c r="X56" t="s">
        <v>420</v>
      </c>
      <c r="Y56" t="s">
        <v>24</v>
      </c>
      <c r="AI56" t="s">
        <v>421</v>
      </c>
      <c r="AJ56" t="s">
        <v>422</v>
      </c>
      <c r="AK56" t="s">
        <v>423</v>
      </c>
      <c r="AL56">
        <v>0.88</v>
      </c>
      <c r="AM56">
        <v>21</v>
      </c>
      <c r="AN56" t="s">
        <v>84</v>
      </c>
      <c r="AO56" t="s">
        <v>424</v>
      </c>
      <c r="AR56">
        <v>15</v>
      </c>
      <c r="AS56">
        <v>15</v>
      </c>
      <c r="AT56">
        <v>13</v>
      </c>
      <c r="AU56">
        <v>0.47</v>
      </c>
      <c r="AV56">
        <v>0.21</v>
      </c>
      <c r="AW56">
        <v>0.76</v>
      </c>
      <c r="AX56">
        <v>1.44</v>
      </c>
      <c r="AY56">
        <f t="shared" si="0"/>
        <v>2.41</v>
      </c>
    </row>
    <row r="57" spans="1:51" x14ac:dyDescent="0.35">
      <c r="A57">
        <v>56</v>
      </c>
      <c r="B57" t="s">
        <v>51</v>
      </c>
      <c r="C57" t="s">
        <v>52</v>
      </c>
      <c r="D57" t="s">
        <v>73</v>
      </c>
      <c r="E57" t="s">
        <v>54</v>
      </c>
      <c r="F57" t="s">
        <v>74</v>
      </c>
      <c r="G57" t="s">
        <v>101</v>
      </c>
      <c r="H57" t="s">
        <v>88</v>
      </c>
      <c r="I57" t="s">
        <v>76</v>
      </c>
      <c r="J57" t="s">
        <v>102</v>
      </c>
      <c r="K57" t="s">
        <v>110</v>
      </c>
      <c r="L57" t="s">
        <v>61</v>
      </c>
      <c r="M57" t="s">
        <v>425</v>
      </c>
      <c r="O57" t="s">
        <v>426</v>
      </c>
      <c r="P57" t="s">
        <v>64</v>
      </c>
      <c r="U57" t="s">
        <v>65</v>
      </c>
      <c r="V57" t="s">
        <v>66</v>
      </c>
      <c r="X57" t="s">
        <v>427</v>
      </c>
      <c r="Y57" t="s">
        <v>24</v>
      </c>
      <c r="AI57" t="s">
        <v>428</v>
      </c>
      <c r="AJ57" t="s">
        <v>429</v>
      </c>
      <c r="AK57" t="s">
        <v>289</v>
      </c>
      <c r="AL57">
        <v>0.64</v>
      </c>
      <c r="AM57">
        <v>46</v>
      </c>
      <c r="AN57" t="s">
        <v>71</v>
      </c>
      <c r="AO57" t="s">
        <v>430</v>
      </c>
      <c r="AR57">
        <v>21</v>
      </c>
      <c r="AS57">
        <v>14</v>
      </c>
      <c r="AT57">
        <v>21</v>
      </c>
      <c r="AU57">
        <v>0.84</v>
      </c>
      <c r="AV57">
        <v>0.68</v>
      </c>
      <c r="AW57">
        <v>0.2</v>
      </c>
      <c r="AX57">
        <v>1.72</v>
      </c>
      <c r="AY57">
        <f t="shared" si="0"/>
        <v>2.6</v>
      </c>
    </row>
    <row r="58" spans="1:51" x14ac:dyDescent="0.35">
      <c r="A58">
        <v>57</v>
      </c>
      <c r="B58" t="s">
        <v>51</v>
      </c>
      <c r="C58" t="s">
        <v>52</v>
      </c>
      <c r="D58" t="s">
        <v>99</v>
      </c>
      <c r="E58" t="s">
        <v>54</v>
      </c>
      <c r="F58" t="s">
        <v>100</v>
      </c>
      <c r="G58" t="s">
        <v>87</v>
      </c>
      <c r="H58" t="s">
        <v>168</v>
      </c>
      <c r="I58" t="s">
        <v>169</v>
      </c>
      <c r="J58" t="s">
        <v>102</v>
      </c>
      <c r="K58" t="s">
        <v>60</v>
      </c>
      <c r="L58" t="s">
        <v>61</v>
      </c>
      <c r="M58" t="s">
        <v>289</v>
      </c>
      <c r="O58" t="s">
        <v>333</v>
      </c>
      <c r="P58" t="s">
        <v>64</v>
      </c>
      <c r="U58" t="s">
        <v>65</v>
      </c>
      <c r="V58" t="s">
        <v>66</v>
      </c>
      <c r="X58" t="s">
        <v>431</v>
      </c>
      <c r="Y58" t="s">
        <v>24</v>
      </c>
      <c r="AI58" t="s">
        <v>432</v>
      </c>
      <c r="AJ58" t="s">
        <v>433</v>
      </c>
      <c r="AK58" t="s">
        <v>434</v>
      </c>
      <c r="AL58">
        <v>0.6</v>
      </c>
      <c r="AM58">
        <v>27</v>
      </c>
      <c r="AN58" t="s">
        <v>71</v>
      </c>
      <c r="AO58" t="s">
        <v>435</v>
      </c>
      <c r="AR58">
        <v>12</v>
      </c>
      <c r="AS58">
        <v>28</v>
      </c>
      <c r="AT58">
        <v>10</v>
      </c>
      <c r="AU58">
        <v>0.53</v>
      </c>
      <c r="AV58">
        <v>0.41</v>
      </c>
      <c r="AW58">
        <v>0.38</v>
      </c>
      <c r="AX58">
        <v>1.32</v>
      </c>
      <c r="AY58">
        <f t="shared" si="0"/>
        <v>2.1100000000000003</v>
      </c>
    </row>
    <row r="59" spans="1:51" x14ac:dyDescent="0.35">
      <c r="A59">
        <v>58</v>
      </c>
      <c r="B59" t="s">
        <v>51</v>
      </c>
      <c r="C59" t="s">
        <v>52</v>
      </c>
      <c r="D59" t="s">
        <v>436</v>
      </c>
      <c r="E59" t="s">
        <v>54</v>
      </c>
      <c r="F59" t="s">
        <v>74</v>
      </c>
      <c r="G59" t="s">
        <v>56</v>
      </c>
      <c r="H59" t="s">
        <v>168</v>
      </c>
      <c r="I59" t="s">
        <v>58</v>
      </c>
      <c r="J59" t="s">
        <v>59</v>
      </c>
      <c r="K59" t="s">
        <v>211</v>
      </c>
      <c r="L59" t="s">
        <v>61</v>
      </c>
      <c r="M59" t="s">
        <v>178</v>
      </c>
      <c r="O59" t="s">
        <v>139</v>
      </c>
      <c r="P59" t="s">
        <v>64</v>
      </c>
      <c r="U59" t="s">
        <v>65</v>
      </c>
      <c r="V59" t="s">
        <v>66</v>
      </c>
      <c r="X59" t="s">
        <v>437</v>
      </c>
      <c r="Y59" t="s">
        <v>24</v>
      </c>
      <c r="AI59" t="s">
        <v>438</v>
      </c>
      <c r="AJ59" t="s">
        <v>439</v>
      </c>
      <c r="AK59" t="s">
        <v>281</v>
      </c>
      <c r="AL59">
        <v>0.64</v>
      </c>
      <c r="AM59">
        <v>69</v>
      </c>
      <c r="AN59" t="s">
        <v>71</v>
      </c>
      <c r="AO59" t="s">
        <v>440</v>
      </c>
      <c r="AR59">
        <v>7</v>
      </c>
      <c r="AS59">
        <v>11</v>
      </c>
      <c r="AT59">
        <v>8</v>
      </c>
      <c r="AU59">
        <v>0.75</v>
      </c>
      <c r="AV59">
        <v>0.17</v>
      </c>
      <c r="AW59">
        <v>0.17</v>
      </c>
      <c r="AX59">
        <v>1.0900000000000001</v>
      </c>
      <c r="AY59">
        <f t="shared" si="0"/>
        <v>1.4300000000000002</v>
      </c>
    </row>
    <row r="60" spans="1:51" x14ac:dyDescent="0.35">
      <c r="A60">
        <v>59</v>
      </c>
      <c r="B60" t="s">
        <v>51</v>
      </c>
      <c r="C60" t="s">
        <v>52</v>
      </c>
      <c r="D60" t="s">
        <v>436</v>
      </c>
      <c r="E60" t="s">
        <v>54</v>
      </c>
      <c r="F60" t="s">
        <v>100</v>
      </c>
      <c r="G60" t="s">
        <v>87</v>
      </c>
      <c r="H60" t="s">
        <v>75</v>
      </c>
      <c r="I60" t="s">
        <v>128</v>
      </c>
      <c r="J60" t="s">
        <v>102</v>
      </c>
      <c r="K60" t="s">
        <v>77</v>
      </c>
      <c r="L60" t="s">
        <v>146</v>
      </c>
      <c r="M60" t="s">
        <v>138</v>
      </c>
      <c r="N60">
        <v>9</v>
      </c>
      <c r="O60" t="s">
        <v>148</v>
      </c>
      <c r="P60" t="s">
        <v>149</v>
      </c>
      <c r="U60" t="s">
        <v>92</v>
      </c>
      <c r="V60" t="s">
        <v>66</v>
      </c>
      <c r="X60" t="s">
        <v>441</v>
      </c>
      <c r="Y60" t="s">
        <v>24</v>
      </c>
      <c r="AI60" t="s">
        <v>442</v>
      </c>
      <c r="AJ60" t="s">
        <v>443</v>
      </c>
      <c r="AK60" t="s">
        <v>444</v>
      </c>
      <c r="AL60">
        <v>0.99</v>
      </c>
      <c r="AM60">
        <v>68</v>
      </c>
      <c r="AN60" t="s">
        <v>97</v>
      </c>
      <c r="AO60" t="s">
        <v>445</v>
      </c>
      <c r="AR60">
        <v>17</v>
      </c>
      <c r="AS60">
        <v>15</v>
      </c>
      <c r="AT60">
        <v>20</v>
      </c>
      <c r="AU60">
        <v>0.66</v>
      </c>
      <c r="AV60">
        <v>0.31</v>
      </c>
      <c r="AW60">
        <v>0.89</v>
      </c>
      <c r="AX60">
        <v>1.86</v>
      </c>
      <c r="AY60">
        <f t="shared" si="0"/>
        <v>3.06</v>
      </c>
    </row>
    <row r="61" spans="1:51" x14ac:dyDescent="0.35">
      <c r="A61">
        <v>60</v>
      </c>
      <c r="B61" t="s">
        <v>51</v>
      </c>
      <c r="C61" t="s">
        <v>52</v>
      </c>
      <c r="D61" t="s">
        <v>192</v>
      </c>
      <c r="E61" t="s">
        <v>54</v>
      </c>
      <c r="F61" t="s">
        <v>74</v>
      </c>
      <c r="G61" t="s">
        <v>56</v>
      </c>
      <c r="H61" t="s">
        <v>168</v>
      </c>
      <c r="I61" t="s">
        <v>76</v>
      </c>
      <c r="J61" t="s">
        <v>59</v>
      </c>
      <c r="K61" t="s">
        <v>60</v>
      </c>
      <c r="L61" t="s">
        <v>61</v>
      </c>
      <c r="M61" t="s">
        <v>375</v>
      </c>
      <c r="O61" t="s">
        <v>409</v>
      </c>
      <c r="P61" t="s">
        <v>64</v>
      </c>
      <c r="U61" t="s">
        <v>65</v>
      </c>
      <c r="V61" t="s">
        <v>66</v>
      </c>
      <c r="X61" t="s">
        <v>446</v>
      </c>
      <c r="Y61" t="s">
        <v>24</v>
      </c>
      <c r="AI61" t="s">
        <v>447</v>
      </c>
      <c r="AJ61" t="s">
        <v>448</v>
      </c>
      <c r="AK61" t="s">
        <v>83</v>
      </c>
      <c r="AL61">
        <v>0.23</v>
      </c>
      <c r="AM61">
        <v>73</v>
      </c>
      <c r="AN61" t="s">
        <v>84</v>
      </c>
      <c r="AO61" t="s">
        <v>449</v>
      </c>
      <c r="AR61">
        <v>26</v>
      </c>
      <c r="AS61">
        <v>30</v>
      </c>
      <c r="AT61">
        <v>12</v>
      </c>
      <c r="AU61">
        <v>0.92</v>
      </c>
      <c r="AV61">
        <v>0.81</v>
      </c>
      <c r="AW61">
        <v>0.92</v>
      </c>
      <c r="AX61">
        <v>2.65</v>
      </c>
      <c r="AY61">
        <f t="shared" si="0"/>
        <v>4.38</v>
      </c>
    </row>
    <row r="62" spans="1:51" x14ac:dyDescent="0.35">
      <c r="A62">
        <v>61</v>
      </c>
      <c r="B62" t="s">
        <v>51</v>
      </c>
      <c r="C62" t="s">
        <v>52</v>
      </c>
      <c r="D62" t="s">
        <v>238</v>
      </c>
      <c r="E62" t="s">
        <v>54</v>
      </c>
      <c r="F62" t="s">
        <v>100</v>
      </c>
      <c r="G62" t="s">
        <v>56</v>
      </c>
      <c r="H62" t="s">
        <v>57</v>
      </c>
      <c r="I62" t="s">
        <v>169</v>
      </c>
      <c r="J62" t="s">
        <v>102</v>
      </c>
      <c r="K62" t="s">
        <v>89</v>
      </c>
      <c r="L62" t="s">
        <v>146</v>
      </c>
      <c r="M62" t="s">
        <v>450</v>
      </c>
      <c r="N62">
        <v>5</v>
      </c>
      <c r="O62" t="s">
        <v>148</v>
      </c>
      <c r="P62" t="s">
        <v>149</v>
      </c>
      <c r="U62" t="s">
        <v>65</v>
      </c>
      <c r="V62" t="s">
        <v>66</v>
      </c>
      <c r="X62" t="s">
        <v>451</v>
      </c>
      <c r="Y62" t="s">
        <v>24</v>
      </c>
      <c r="AI62" t="s">
        <v>452</v>
      </c>
      <c r="AJ62" t="s">
        <v>453</v>
      </c>
      <c r="AK62" t="s">
        <v>454</v>
      </c>
      <c r="AL62">
        <v>0.85</v>
      </c>
      <c r="AM62">
        <v>60</v>
      </c>
      <c r="AN62" t="s">
        <v>84</v>
      </c>
      <c r="AO62" t="s">
        <v>455</v>
      </c>
      <c r="AR62">
        <v>8</v>
      </c>
      <c r="AS62">
        <v>1</v>
      </c>
      <c r="AT62">
        <v>1</v>
      </c>
      <c r="AU62">
        <v>0.54</v>
      </c>
      <c r="AV62">
        <v>0.88</v>
      </c>
      <c r="AW62">
        <v>0.25</v>
      </c>
      <c r="AX62">
        <v>1.67</v>
      </c>
      <c r="AY62">
        <f t="shared" si="0"/>
        <v>2.8</v>
      </c>
    </row>
    <row r="63" spans="1:51" x14ac:dyDescent="0.35">
      <c r="A63">
        <v>62</v>
      </c>
      <c r="B63" t="s">
        <v>51</v>
      </c>
      <c r="C63" t="s">
        <v>52</v>
      </c>
      <c r="D63" t="s">
        <v>185</v>
      </c>
      <c r="E63" t="s">
        <v>54</v>
      </c>
      <c r="F63" t="s">
        <v>55</v>
      </c>
      <c r="G63" t="s">
        <v>101</v>
      </c>
      <c r="H63" t="s">
        <v>57</v>
      </c>
      <c r="I63" t="s">
        <v>128</v>
      </c>
      <c r="J63" t="s">
        <v>59</v>
      </c>
      <c r="K63" t="s">
        <v>137</v>
      </c>
      <c r="L63" t="s">
        <v>61</v>
      </c>
      <c r="M63" t="s">
        <v>227</v>
      </c>
      <c r="O63" t="s">
        <v>456</v>
      </c>
      <c r="P63" t="s">
        <v>64</v>
      </c>
      <c r="U63" t="s">
        <v>65</v>
      </c>
      <c r="V63" t="s">
        <v>66</v>
      </c>
      <c r="X63" t="s">
        <v>457</v>
      </c>
      <c r="Y63" t="s">
        <v>24</v>
      </c>
      <c r="AI63" t="s">
        <v>458</v>
      </c>
      <c r="AJ63" t="s">
        <v>459</v>
      </c>
      <c r="AK63" t="s">
        <v>460</v>
      </c>
      <c r="AL63">
        <v>0.34</v>
      </c>
      <c r="AM63">
        <v>37</v>
      </c>
      <c r="AN63" t="s">
        <v>97</v>
      </c>
      <c r="AO63" t="s">
        <v>461</v>
      </c>
      <c r="AR63">
        <v>17</v>
      </c>
      <c r="AS63">
        <v>17</v>
      </c>
      <c r="AT63">
        <v>12</v>
      </c>
      <c r="AU63">
        <v>0.62</v>
      </c>
      <c r="AV63">
        <v>0.91</v>
      </c>
      <c r="AW63">
        <v>0.99</v>
      </c>
      <c r="AX63">
        <v>2.52</v>
      </c>
      <c r="AY63">
        <f t="shared" si="0"/>
        <v>4.42</v>
      </c>
    </row>
    <row r="64" spans="1:51" x14ac:dyDescent="0.35">
      <c r="A64">
        <v>63</v>
      </c>
      <c r="B64" t="s">
        <v>51</v>
      </c>
      <c r="C64" t="s">
        <v>52</v>
      </c>
      <c r="D64" t="s">
        <v>167</v>
      </c>
      <c r="E64" t="s">
        <v>54</v>
      </c>
      <c r="F64" t="s">
        <v>100</v>
      </c>
      <c r="G64" t="s">
        <v>87</v>
      </c>
      <c r="H64" t="s">
        <v>168</v>
      </c>
      <c r="I64" t="s">
        <v>128</v>
      </c>
      <c r="J64" t="s">
        <v>102</v>
      </c>
      <c r="K64" t="s">
        <v>60</v>
      </c>
      <c r="L64" t="s">
        <v>61</v>
      </c>
      <c r="M64" t="s">
        <v>312</v>
      </c>
      <c r="O64" t="s">
        <v>462</v>
      </c>
      <c r="P64" t="s">
        <v>64</v>
      </c>
      <c r="U64" t="s">
        <v>65</v>
      </c>
      <c r="V64" t="s">
        <v>66</v>
      </c>
      <c r="X64" t="s">
        <v>463</v>
      </c>
      <c r="Y64" t="s">
        <v>24</v>
      </c>
      <c r="AI64" t="s">
        <v>464</v>
      </c>
      <c r="AJ64" t="s">
        <v>465</v>
      </c>
      <c r="AK64" t="s">
        <v>466</v>
      </c>
      <c r="AL64">
        <v>0.53</v>
      </c>
      <c r="AM64">
        <v>44</v>
      </c>
      <c r="AN64" t="s">
        <v>97</v>
      </c>
      <c r="AO64" t="s">
        <v>467</v>
      </c>
      <c r="AR64">
        <v>1</v>
      </c>
      <c r="AS64">
        <v>19</v>
      </c>
      <c r="AT64">
        <v>24</v>
      </c>
      <c r="AU64">
        <v>0.2</v>
      </c>
      <c r="AV64">
        <v>0.38</v>
      </c>
      <c r="AW64">
        <v>0.88</v>
      </c>
      <c r="AX64">
        <v>1.46</v>
      </c>
      <c r="AY64">
        <f t="shared" si="0"/>
        <v>2.7199999999999998</v>
      </c>
    </row>
    <row r="65" spans="1:51" x14ac:dyDescent="0.35">
      <c r="A65">
        <v>64</v>
      </c>
      <c r="B65" t="s">
        <v>51</v>
      </c>
      <c r="C65" t="s">
        <v>52</v>
      </c>
      <c r="D65" t="s">
        <v>86</v>
      </c>
      <c r="E65" t="s">
        <v>54</v>
      </c>
      <c r="F65" t="s">
        <v>100</v>
      </c>
      <c r="G65" t="s">
        <v>56</v>
      </c>
      <c r="H65" t="s">
        <v>88</v>
      </c>
      <c r="I65" t="s">
        <v>76</v>
      </c>
      <c r="J65" t="s">
        <v>102</v>
      </c>
      <c r="K65" t="s">
        <v>170</v>
      </c>
      <c r="L65" t="s">
        <v>61</v>
      </c>
      <c r="M65" t="s">
        <v>468</v>
      </c>
      <c r="O65" t="s">
        <v>426</v>
      </c>
      <c r="P65" t="s">
        <v>64</v>
      </c>
      <c r="U65" t="s">
        <v>92</v>
      </c>
      <c r="V65" t="s">
        <v>66</v>
      </c>
      <c r="X65" t="s">
        <v>469</v>
      </c>
      <c r="Y65" t="s">
        <v>24</v>
      </c>
      <c r="AI65" t="s">
        <v>470</v>
      </c>
      <c r="AJ65" t="s">
        <v>471</v>
      </c>
      <c r="AK65" t="s">
        <v>203</v>
      </c>
      <c r="AL65">
        <v>1.3</v>
      </c>
      <c r="AM65">
        <v>59</v>
      </c>
      <c r="AN65" t="s">
        <v>97</v>
      </c>
      <c r="AO65" t="s">
        <v>472</v>
      </c>
      <c r="AR65">
        <v>18</v>
      </c>
      <c r="AS65">
        <v>18</v>
      </c>
      <c r="AT65">
        <v>11</v>
      </c>
      <c r="AU65">
        <v>0.16</v>
      </c>
      <c r="AV65">
        <v>0.53</v>
      </c>
      <c r="AW65">
        <v>0.28999999999999998</v>
      </c>
      <c r="AX65">
        <v>0.98</v>
      </c>
      <c r="AY65">
        <f t="shared" si="0"/>
        <v>1.8</v>
      </c>
    </row>
    <row r="66" spans="1:51" x14ac:dyDescent="0.35">
      <c r="A66">
        <v>65</v>
      </c>
      <c r="B66" t="s">
        <v>51</v>
      </c>
      <c r="C66" t="s">
        <v>52</v>
      </c>
      <c r="D66" t="s">
        <v>167</v>
      </c>
      <c r="E66" t="s">
        <v>54</v>
      </c>
      <c r="F66" t="s">
        <v>74</v>
      </c>
      <c r="G66" t="s">
        <v>101</v>
      </c>
      <c r="H66" t="s">
        <v>75</v>
      </c>
      <c r="I66" t="s">
        <v>169</v>
      </c>
      <c r="J66" t="s">
        <v>102</v>
      </c>
      <c r="K66" t="s">
        <v>170</v>
      </c>
      <c r="L66" t="s">
        <v>146</v>
      </c>
      <c r="M66" t="s">
        <v>298</v>
      </c>
      <c r="N66">
        <v>9</v>
      </c>
      <c r="O66" t="s">
        <v>148</v>
      </c>
      <c r="P66" t="s">
        <v>149</v>
      </c>
      <c r="U66" t="s">
        <v>92</v>
      </c>
      <c r="V66" t="s">
        <v>66</v>
      </c>
      <c r="X66" t="s">
        <v>473</v>
      </c>
      <c r="Y66" t="s">
        <v>24</v>
      </c>
      <c r="AI66" t="s">
        <v>474</v>
      </c>
      <c r="AJ66" t="s">
        <v>475</v>
      </c>
      <c r="AK66" t="s">
        <v>454</v>
      </c>
      <c r="AL66">
        <v>1.23</v>
      </c>
      <c r="AM66">
        <v>50</v>
      </c>
      <c r="AN66" t="s">
        <v>84</v>
      </c>
      <c r="AO66" t="s">
        <v>476</v>
      </c>
      <c r="AR66">
        <v>27</v>
      </c>
      <c r="AS66">
        <v>3</v>
      </c>
      <c r="AT66">
        <v>16</v>
      </c>
      <c r="AU66">
        <v>0.88</v>
      </c>
      <c r="AV66">
        <v>0.17</v>
      </c>
      <c r="AW66">
        <v>0.75</v>
      </c>
      <c r="AX66">
        <v>1.8</v>
      </c>
      <c r="AY66">
        <f t="shared" si="0"/>
        <v>2.72</v>
      </c>
    </row>
    <row r="67" spans="1:51" x14ac:dyDescent="0.35">
      <c r="A67">
        <v>66</v>
      </c>
      <c r="B67" t="s">
        <v>51</v>
      </c>
      <c r="C67" t="s">
        <v>52</v>
      </c>
      <c r="D67" t="s">
        <v>246</v>
      </c>
      <c r="E67" t="s">
        <v>54</v>
      </c>
      <c r="F67" t="s">
        <v>74</v>
      </c>
      <c r="G67" t="s">
        <v>56</v>
      </c>
      <c r="H67" t="s">
        <v>168</v>
      </c>
      <c r="I67" t="s">
        <v>76</v>
      </c>
      <c r="J67" t="s">
        <v>59</v>
      </c>
      <c r="K67" t="s">
        <v>137</v>
      </c>
      <c r="L67" t="s">
        <v>61</v>
      </c>
      <c r="M67" t="s">
        <v>208</v>
      </c>
      <c r="O67" t="s">
        <v>131</v>
      </c>
      <c r="P67" t="s">
        <v>64</v>
      </c>
      <c r="U67" t="s">
        <v>92</v>
      </c>
      <c r="V67" t="s">
        <v>66</v>
      </c>
      <c r="X67" t="s">
        <v>477</v>
      </c>
      <c r="Y67" t="s">
        <v>24</v>
      </c>
      <c r="AI67" t="s">
        <v>478</v>
      </c>
      <c r="AJ67" t="s">
        <v>479</v>
      </c>
      <c r="AK67" t="s">
        <v>298</v>
      </c>
      <c r="AL67">
        <v>0.56000000000000005</v>
      </c>
      <c r="AM67">
        <v>48</v>
      </c>
      <c r="AN67" t="s">
        <v>84</v>
      </c>
      <c r="AO67" t="s">
        <v>480</v>
      </c>
      <c r="AR67">
        <v>26</v>
      </c>
      <c r="AS67">
        <v>25</v>
      </c>
      <c r="AT67">
        <v>5</v>
      </c>
      <c r="AU67">
        <v>0.71</v>
      </c>
      <c r="AV67">
        <v>0.52</v>
      </c>
      <c r="AW67">
        <v>0.83</v>
      </c>
      <c r="AX67">
        <v>2.06</v>
      </c>
      <c r="AY67">
        <f t="shared" ref="AY67:AY101" si="1">AV67+AW67+AX67</f>
        <v>3.41</v>
      </c>
    </row>
    <row r="68" spans="1:51" x14ac:dyDescent="0.35">
      <c r="A68">
        <v>67</v>
      </c>
      <c r="B68" t="s">
        <v>51</v>
      </c>
      <c r="C68" t="s">
        <v>52</v>
      </c>
      <c r="D68" t="s">
        <v>246</v>
      </c>
      <c r="E68" t="s">
        <v>54</v>
      </c>
      <c r="F68" t="s">
        <v>55</v>
      </c>
      <c r="G68" t="s">
        <v>56</v>
      </c>
      <c r="H68" t="s">
        <v>88</v>
      </c>
      <c r="I68" t="s">
        <v>58</v>
      </c>
      <c r="J68" t="s">
        <v>102</v>
      </c>
      <c r="K68" t="s">
        <v>129</v>
      </c>
      <c r="L68" t="s">
        <v>146</v>
      </c>
      <c r="M68" t="s">
        <v>227</v>
      </c>
      <c r="N68">
        <v>2</v>
      </c>
      <c r="O68" t="s">
        <v>148</v>
      </c>
      <c r="P68" t="s">
        <v>149</v>
      </c>
      <c r="U68" t="s">
        <v>92</v>
      </c>
      <c r="V68" t="s">
        <v>66</v>
      </c>
      <c r="X68" t="s">
        <v>481</v>
      </c>
      <c r="Y68" t="s">
        <v>24</v>
      </c>
      <c r="AI68" t="s">
        <v>482</v>
      </c>
      <c r="AJ68" t="s">
        <v>483</v>
      </c>
      <c r="AK68" t="s">
        <v>358</v>
      </c>
      <c r="AL68">
        <v>0.67</v>
      </c>
      <c r="AM68">
        <v>43</v>
      </c>
      <c r="AN68" t="s">
        <v>97</v>
      </c>
      <c r="AO68" t="s">
        <v>484</v>
      </c>
      <c r="AR68">
        <v>25</v>
      </c>
      <c r="AS68">
        <v>12</v>
      </c>
      <c r="AT68">
        <v>19</v>
      </c>
      <c r="AU68">
        <v>0.4</v>
      </c>
      <c r="AV68">
        <v>0.46</v>
      </c>
      <c r="AW68">
        <v>0.57999999999999996</v>
      </c>
      <c r="AX68">
        <v>1.44</v>
      </c>
      <c r="AY68">
        <f t="shared" si="1"/>
        <v>2.48</v>
      </c>
    </row>
    <row r="69" spans="1:51" x14ac:dyDescent="0.35">
      <c r="A69">
        <v>68</v>
      </c>
      <c r="B69" t="s">
        <v>51</v>
      </c>
      <c r="C69" t="s">
        <v>52</v>
      </c>
      <c r="D69" t="s">
        <v>177</v>
      </c>
      <c r="E69" t="s">
        <v>54</v>
      </c>
      <c r="F69" t="s">
        <v>55</v>
      </c>
      <c r="G69" t="s">
        <v>87</v>
      </c>
      <c r="H69" t="s">
        <v>168</v>
      </c>
      <c r="I69" t="s">
        <v>128</v>
      </c>
      <c r="J69" t="s">
        <v>59</v>
      </c>
      <c r="K69" t="s">
        <v>226</v>
      </c>
      <c r="L69" t="s">
        <v>146</v>
      </c>
      <c r="M69" t="s">
        <v>121</v>
      </c>
      <c r="N69">
        <v>6</v>
      </c>
      <c r="O69" t="s">
        <v>148</v>
      </c>
      <c r="P69" t="s">
        <v>149</v>
      </c>
      <c r="U69" t="s">
        <v>65</v>
      </c>
      <c r="V69" t="s">
        <v>66</v>
      </c>
      <c r="X69" t="s">
        <v>485</v>
      </c>
      <c r="Y69" t="s">
        <v>24</v>
      </c>
      <c r="AI69" t="s">
        <v>486</v>
      </c>
      <c r="AJ69" t="s">
        <v>487</v>
      </c>
      <c r="AK69" t="s">
        <v>385</v>
      </c>
      <c r="AL69">
        <v>1.44</v>
      </c>
      <c r="AM69">
        <v>58</v>
      </c>
      <c r="AN69" t="s">
        <v>71</v>
      </c>
      <c r="AO69" t="s">
        <v>488</v>
      </c>
      <c r="AR69">
        <v>12</v>
      </c>
      <c r="AS69">
        <v>23</v>
      </c>
      <c r="AT69">
        <v>5</v>
      </c>
      <c r="AU69">
        <v>0.99</v>
      </c>
      <c r="AV69">
        <v>0.56999999999999995</v>
      </c>
      <c r="AW69">
        <v>0.66</v>
      </c>
      <c r="AX69">
        <v>2.2200000000000002</v>
      </c>
      <c r="AY69">
        <f t="shared" si="1"/>
        <v>3.45</v>
      </c>
    </row>
    <row r="70" spans="1:51" x14ac:dyDescent="0.35">
      <c r="A70">
        <v>69</v>
      </c>
      <c r="B70" t="s">
        <v>51</v>
      </c>
      <c r="C70" t="s">
        <v>52</v>
      </c>
      <c r="D70" t="s">
        <v>381</v>
      </c>
      <c r="E70" t="s">
        <v>54</v>
      </c>
      <c r="F70" t="s">
        <v>100</v>
      </c>
      <c r="G70" t="s">
        <v>56</v>
      </c>
      <c r="H70" t="s">
        <v>57</v>
      </c>
      <c r="I70" t="s">
        <v>58</v>
      </c>
      <c r="J70" t="s">
        <v>59</v>
      </c>
      <c r="K70" t="s">
        <v>137</v>
      </c>
      <c r="L70" t="s">
        <v>61</v>
      </c>
      <c r="M70" t="s">
        <v>489</v>
      </c>
      <c r="O70" t="s">
        <v>490</v>
      </c>
      <c r="P70" t="s">
        <v>64</v>
      </c>
      <c r="U70" t="s">
        <v>92</v>
      </c>
      <c r="V70" t="s">
        <v>66</v>
      </c>
      <c r="X70" t="s">
        <v>491</v>
      </c>
      <c r="Y70" t="s">
        <v>24</v>
      </c>
      <c r="AI70" t="s">
        <v>492</v>
      </c>
      <c r="AJ70" t="s">
        <v>493</v>
      </c>
      <c r="AK70" t="s">
        <v>178</v>
      </c>
      <c r="AL70">
        <v>0.83</v>
      </c>
      <c r="AM70">
        <v>56</v>
      </c>
      <c r="AN70" t="s">
        <v>71</v>
      </c>
      <c r="AO70" t="s">
        <v>494</v>
      </c>
      <c r="AR70">
        <v>5</v>
      </c>
      <c r="AS70">
        <v>5</v>
      </c>
      <c r="AT70">
        <v>6</v>
      </c>
      <c r="AU70">
        <v>0.91</v>
      </c>
      <c r="AV70">
        <v>0.2</v>
      </c>
      <c r="AW70">
        <v>0.36</v>
      </c>
      <c r="AX70">
        <v>1.47</v>
      </c>
      <c r="AY70">
        <f t="shared" si="1"/>
        <v>2.0300000000000002</v>
      </c>
    </row>
    <row r="71" spans="1:51" x14ac:dyDescent="0.35">
      <c r="A71">
        <v>70</v>
      </c>
      <c r="B71" t="s">
        <v>51</v>
      </c>
      <c r="C71" t="s">
        <v>52</v>
      </c>
      <c r="D71" t="s">
        <v>99</v>
      </c>
      <c r="E71" t="s">
        <v>54</v>
      </c>
      <c r="F71" t="s">
        <v>74</v>
      </c>
      <c r="G71" t="s">
        <v>56</v>
      </c>
      <c r="H71" t="s">
        <v>168</v>
      </c>
      <c r="I71" t="s">
        <v>128</v>
      </c>
      <c r="J71" t="s">
        <v>102</v>
      </c>
      <c r="K71" t="s">
        <v>120</v>
      </c>
      <c r="L71" t="s">
        <v>61</v>
      </c>
      <c r="M71" t="s">
        <v>495</v>
      </c>
      <c r="O71" t="s">
        <v>496</v>
      </c>
      <c r="P71" t="s">
        <v>64</v>
      </c>
      <c r="U71" t="s">
        <v>65</v>
      </c>
      <c r="V71" t="s">
        <v>66</v>
      </c>
      <c r="X71" t="s">
        <v>497</v>
      </c>
      <c r="Y71" t="s">
        <v>24</v>
      </c>
      <c r="AI71" t="s">
        <v>498</v>
      </c>
      <c r="AJ71" t="s">
        <v>499</v>
      </c>
      <c r="AK71" t="s">
        <v>500</v>
      </c>
      <c r="AL71">
        <v>0.79</v>
      </c>
      <c r="AM71">
        <v>61</v>
      </c>
      <c r="AN71" t="s">
        <v>71</v>
      </c>
      <c r="AO71" t="s">
        <v>501</v>
      </c>
      <c r="AR71">
        <v>23</v>
      </c>
      <c r="AS71">
        <v>10</v>
      </c>
      <c r="AT71">
        <v>22</v>
      </c>
      <c r="AU71">
        <v>0.63</v>
      </c>
      <c r="AV71">
        <v>0.69</v>
      </c>
      <c r="AW71">
        <v>0.46</v>
      </c>
      <c r="AX71">
        <v>1.78</v>
      </c>
      <c r="AY71">
        <f t="shared" si="1"/>
        <v>2.9299999999999997</v>
      </c>
    </row>
    <row r="72" spans="1:51" x14ac:dyDescent="0.35">
      <c r="A72">
        <v>71</v>
      </c>
      <c r="B72" t="s">
        <v>51</v>
      </c>
      <c r="C72" t="s">
        <v>52</v>
      </c>
      <c r="D72" t="s">
        <v>185</v>
      </c>
      <c r="E72" t="s">
        <v>54</v>
      </c>
      <c r="F72" t="s">
        <v>55</v>
      </c>
      <c r="G72" t="s">
        <v>101</v>
      </c>
      <c r="H72" t="s">
        <v>168</v>
      </c>
      <c r="I72" t="s">
        <v>169</v>
      </c>
      <c r="J72" t="s">
        <v>102</v>
      </c>
      <c r="K72" t="s">
        <v>89</v>
      </c>
      <c r="L72" t="s">
        <v>146</v>
      </c>
      <c r="M72" t="s">
        <v>358</v>
      </c>
      <c r="N72">
        <v>4</v>
      </c>
      <c r="O72" t="s">
        <v>148</v>
      </c>
      <c r="P72" t="s">
        <v>149</v>
      </c>
      <c r="U72" t="s">
        <v>92</v>
      </c>
      <c r="V72" t="s">
        <v>66</v>
      </c>
      <c r="X72" t="s">
        <v>502</v>
      </c>
      <c r="Y72" t="s">
        <v>24</v>
      </c>
      <c r="AI72" t="s">
        <v>503</v>
      </c>
      <c r="AJ72" t="s">
        <v>504</v>
      </c>
      <c r="AK72" t="s">
        <v>505</v>
      </c>
      <c r="AL72">
        <v>0.57999999999999996</v>
      </c>
      <c r="AM72">
        <v>70</v>
      </c>
      <c r="AN72" t="s">
        <v>84</v>
      </c>
      <c r="AO72" t="s">
        <v>506</v>
      </c>
      <c r="AR72">
        <v>21</v>
      </c>
      <c r="AS72">
        <v>9</v>
      </c>
      <c r="AT72">
        <v>18</v>
      </c>
      <c r="AU72">
        <v>0.77</v>
      </c>
      <c r="AV72">
        <v>0.89</v>
      </c>
      <c r="AW72">
        <v>0.14000000000000001</v>
      </c>
      <c r="AX72">
        <v>1.8</v>
      </c>
      <c r="AY72">
        <f t="shared" si="1"/>
        <v>2.83</v>
      </c>
    </row>
    <row r="73" spans="1:51" x14ac:dyDescent="0.35">
      <c r="A73">
        <v>72</v>
      </c>
      <c r="B73" t="s">
        <v>51</v>
      </c>
      <c r="C73" t="s">
        <v>52</v>
      </c>
      <c r="D73" t="s">
        <v>210</v>
      </c>
      <c r="E73" t="s">
        <v>54</v>
      </c>
      <c r="F73" t="s">
        <v>74</v>
      </c>
      <c r="G73" t="s">
        <v>56</v>
      </c>
      <c r="H73" t="s">
        <v>168</v>
      </c>
      <c r="I73" t="s">
        <v>119</v>
      </c>
      <c r="J73" t="s">
        <v>102</v>
      </c>
      <c r="K73" t="s">
        <v>120</v>
      </c>
      <c r="L73" t="s">
        <v>61</v>
      </c>
      <c r="M73" t="s">
        <v>507</v>
      </c>
      <c r="O73" t="s">
        <v>508</v>
      </c>
      <c r="P73" t="s">
        <v>64</v>
      </c>
      <c r="U73" t="s">
        <v>65</v>
      </c>
      <c r="V73" t="s">
        <v>66</v>
      </c>
      <c r="X73" t="s">
        <v>509</v>
      </c>
      <c r="Y73" t="s">
        <v>24</v>
      </c>
      <c r="AI73" t="s">
        <v>510</v>
      </c>
      <c r="AJ73" t="s">
        <v>511</v>
      </c>
      <c r="AK73" t="s">
        <v>260</v>
      </c>
      <c r="AL73">
        <v>1.02</v>
      </c>
      <c r="AM73">
        <v>52</v>
      </c>
      <c r="AN73" t="s">
        <v>71</v>
      </c>
      <c r="AO73" t="s">
        <v>512</v>
      </c>
      <c r="AR73">
        <v>26</v>
      </c>
      <c r="AS73">
        <v>22</v>
      </c>
      <c r="AT73">
        <v>19</v>
      </c>
      <c r="AU73">
        <v>0.42</v>
      </c>
      <c r="AV73">
        <v>0.14000000000000001</v>
      </c>
      <c r="AW73">
        <v>0.45</v>
      </c>
      <c r="AX73">
        <v>1.01</v>
      </c>
      <c r="AY73">
        <f t="shared" si="1"/>
        <v>1.6</v>
      </c>
    </row>
    <row r="74" spans="1:51" x14ac:dyDescent="0.35">
      <c r="A74">
        <v>73</v>
      </c>
      <c r="B74" t="s">
        <v>51</v>
      </c>
      <c r="C74" t="s">
        <v>52</v>
      </c>
      <c r="D74" t="s">
        <v>332</v>
      </c>
      <c r="E74" t="s">
        <v>54</v>
      </c>
      <c r="F74" t="s">
        <v>100</v>
      </c>
      <c r="G74" t="s">
        <v>87</v>
      </c>
      <c r="H74" t="s">
        <v>88</v>
      </c>
      <c r="I74" t="s">
        <v>58</v>
      </c>
      <c r="J74" t="s">
        <v>59</v>
      </c>
      <c r="K74" t="s">
        <v>226</v>
      </c>
      <c r="L74" t="s">
        <v>61</v>
      </c>
      <c r="M74" t="s">
        <v>513</v>
      </c>
      <c r="O74" t="s">
        <v>514</v>
      </c>
      <c r="P74" t="s">
        <v>64</v>
      </c>
      <c r="U74" t="s">
        <v>65</v>
      </c>
      <c r="V74" t="s">
        <v>66</v>
      </c>
      <c r="X74" t="s">
        <v>515</v>
      </c>
      <c r="Y74" t="s">
        <v>24</v>
      </c>
      <c r="AI74" t="s">
        <v>516</v>
      </c>
      <c r="AJ74" t="s">
        <v>517</v>
      </c>
      <c r="AK74" t="s">
        <v>518</v>
      </c>
      <c r="AL74">
        <v>1.24</v>
      </c>
      <c r="AM74">
        <v>74</v>
      </c>
      <c r="AN74" t="s">
        <v>84</v>
      </c>
      <c r="AO74" t="s">
        <v>519</v>
      </c>
      <c r="AR74">
        <v>22</v>
      </c>
      <c r="AS74">
        <v>6</v>
      </c>
      <c r="AT74">
        <v>30</v>
      </c>
      <c r="AU74">
        <v>0.62</v>
      </c>
      <c r="AV74">
        <v>0.42</v>
      </c>
      <c r="AW74">
        <v>0.87</v>
      </c>
      <c r="AX74">
        <v>1.91</v>
      </c>
      <c r="AY74">
        <f t="shared" si="1"/>
        <v>3.2</v>
      </c>
    </row>
    <row r="75" spans="1:51" x14ac:dyDescent="0.35">
      <c r="A75">
        <v>74</v>
      </c>
      <c r="B75" t="s">
        <v>51</v>
      </c>
      <c r="C75" t="s">
        <v>52</v>
      </c>
      <c r="D75" t="s">
        <v>177</v>
      </c>
      <c r="E75" t="s">
        <v>54</v>
      </c>
      <c r="F75" t="s">
        <v>100</v>
      </c>
      <c r="G75" t="s">
        <v>87</v>
      </c>
      <c r="H75" t="s">
        <v>168</v>
      </c>
      <c r="I75" t="s">
        <v>128</v>
      </c>
      <c r="J75" t="s">
        <v>59</v>
      </c>
      <c r="K75" t="s">
        <v>110</v>
      </c>
      <c r="L75" t="s">
        <v>61</v>
      </c>
      <c r="M75" t="s">
        <v>520</v>
      </c>
      <c r="O75" t="s">
        <v>208</v>
      </c>
      <c r="P75" t="s">
        <v>64</v>
      </c>
      <c r="U75" t="s">
        <v>65</v>
      </c>
      <c r="V75" t="s">
        <v>66</v>
      </c>
      <c r="X75" t="s">
        <v>521</v>
      </c>
      <c r="Y75" t="s">
        <v>24</v>
      </c>
      <c r="AI75" t="s">
        <v>522</v>
      </c>
      <c r="AJ75" t="s">
        <v>523</v>
      </c>
      <c r="AK75" t="s">
        <v>78</v>
      </c>
      <c r="AL75">
        <v>0.67</v>
      </c>
      <c r="AM75">
        <v>57</v>
      </c>
      <c r="AN75" t="s">
        <v>97</v>
      </c>
      <c r="AO75" t="s">
        <v>524</v>
      </c>
      <c r="AR75">
        <v>3</v>
      </c>
      <c r="AS75">
        <v>27</v>
      </c>
      <c r="AT75">
        <v>4</v>
      </c>
      <c r="AU75">
        <v>0.83</v>
      </c>
      <c r="AV75">
        <v>0.59</v>
      </c>
      <c r="AW75">
        <v>0.77</v>
      </c>
      <c r="AX75">
        <v>2.19</v>
      </c>
      <c r="AY75">
        <f t="shared" si="1"/>
        <v>3.55</v>
      </c>
    </row>
    <row r="76" spans="1:51" x14ac:dyDescent="0.35">
      <c r="A76">
        <v>75</v>
      </c>
      <c r="B76" t="s">
        <v>51</v>
      </c>
      <c r="C76" t="s">
        <v>52</v>
      </c>
      <c r="D76" t="s">
        <v>202</v>
      </c>
      <c r="E76" t="s">
        <v>54</v>
      </c>
      <c r="F76" t="s">
        <v>100</v>
      </c>
      <c r="G76" t="s">
        <v>56</v>
      </c>
      <c r="H76" t="s">
        <v>57</v>
      </c>
      <c r="I76" t="s">
        <v>119</v>
      </c>
      <c r="J76" t="s">
        <v>102</v>
      </c>
      <c r="K76" t="s">
        <v>110</v>
      </c>
      <c r="L76" t="s">
        <v>61</v>
      </c>
      <c r="M76" t="s">
        <v>131</v>
      </c>
      <c r="O76" t="s">
        <v>525</v>
      </c>
      <c r="P76" t="s">
        <v>64</v>
      </c>
      <c r="U76" t="s">
        <v>65</v>
      </c>
      <c r="V76" t="s">
        <v>66</v>
      </c>
      <c r="X76" t="s">
        <v>526</v>
      </c>
      <c r="Y76" t="s">
        <v>24</v>
      </c>
      <c r="AI76" t="s">
        <v>527</v>
      </c>
      <c r="AJ76" t="s">
        <v>528</v>
      </c>
      <c r="AK76" t="s">
        <v>240</v>
      </c>
      <c r="AL76">
        <v>1.41</v>
      </c>
      <c r="AM76">
        <v>65</v>
      </c>
      <c r="AN76" t="s">
        <v>84</v>
      </c>
      <c r="AO76" t="s">
        <v>529</v>
      </c>
      <c r="AR76">
        <v>19</v>
      </c>
      <c r="AS76">
        <v>9</v>
      </c>
      <c r="AT76">
        <v>12</v>
      </c>
      <c r="AU76">
        <v>0.63</v>
      </c>
      <c r="AV76">
        <v>0.19</v>
      </c>
      <c r="AW76">
        <v>0.25</v>
      </c>
      <c r="AX76">
        <v>1.07</v>
      </c>
      <c r="AY76">
        <f t="shared" si="1"/>
        <v>1.51</v>
      </c>
    </row>
    <row r="77" spans="1:51" x14ac:dyDescent="0.35">
      <c r="A77">
        <v>76</v>
      </c>
      <c r="B77" t="s">
        <v>51</v>
      </c>
      <c r="C77" t="s">
        <v>52</v>
      </c>
      <c r="D77" t="s">
        <v>325</v>
      </c>
      <c r="E77" t="s">
        <v>54</v>
      </c>
      <c r="F77" t="s">
        <v>74</v>
      </c>
      <c r="G77" t="s">
        <v>56</v>
      </c>
      <c r="H77" t="s">
        <v>57</v>
      </c>
      <c r="I77" t="s">
        <v>169</v>
      </c>
      <c r="J77" t="s">
        <v>59</v>
      </c>
      <c r="K77" t="s">
        <v>89</v>
      </c>
      <c r="L77" t="s">
        <v>61</v>
      </c>
      <c r="M77" t="s">
        <v>138</v>
      </c>
      <c r="O77" t="s">
        <v>372</v>
      </c>
      <c r="P77" t="s">
        <v>64</v>
      </c>
      <c r="U77" t="s">
        <v>92</v>
      </c>
      <c r="V77" t="s">
        <v>66</v>
      </c>
      <c r="X77" t="s">
        <v>530</v>
      </c>
      <c r="Y77" t="s">
        <v>24</v>
      </c>
      <c r="AI77" t="s">
        <v>531</v>
      </c>
      <c r="AJ77" t="s">
        <v>532</v>
      </c>
      <c r="AK77" t="s">
        <v>326</v>
      </c>
      <c r="AL77">
        <v>1.44</v>
      </c>
      <c r="AM77">
        <v>77</v>
      </c>
      <c r="AN77" t="s">
        <v>97</v>
      </c>
      <c r="AO77" t="s">
        <v>533</v>
      </c>
      <c r="AR77">
        <v>4</v>
      </c>
      <c r="AS77">
        <v>20</v>
      </c>
      <c r="AT77">
        <v>10</v>
      </c>
      <c r="AU77">
        <v>0.16</v>
      </c>
      <c r="AV77">
        <v>0.34</v>
      </c>
      <c r="AW77">
        <v>0.25</v>
      </c>
      <c r="AX77">
        <v>0.75</v>
      </c>
      <c r="AY77">
        <f t="shared" si="1"/>
        <v>1.34</v>
      </c>
    </row>
    <row r="78" spans="1:51" x14ac:dyDescent="0.35">
      <c r="A78">
        <v>77</v>
      </c>
      <c r="B78" t="s">
        <v>51</v>
      </c>
      <c r="C78" t="s">
        <v>52</v>
      </c>
      <c r="D78" t="s">
        <v>127</v>
      </c>
      <c r="E78" t="s">
        <v>54</v>
      </c>
      <c r="F78" t="s">
        <v>74</v>
      </c>
      <c r="G78" t="s">
        <v>56</v>
      </c>
      <c r="H78" t="s">
        <v>168</v>
      </c>
      <c r="I78" t="s">
        <v>128</v>
      </c>
      <c r="J78" t="s">
        <v>59</v>
      </c>
      <c r="K78" t="s">
        <v>226</v>
      </c>
      <c r="L78" t="s">
        <v>146</v>
      </c>
      <c r="M78" t="s">
        <v>103</v>
      </c>
      <c r="N78">
        <v>10</v>
      </c>
      <c r="O78" t="s">
        <v>148</v>
      </c>
      <c r="P78" t="s">
        <v>149</v>
      </c>
      <c r="U78" t="s">
        <v>92</v>
      </c>
      <c r="V78" t="s">
        <v>66</v>
      </c>
      <c r="X78" t="s">
        <v>534</v>
      </c>
      <c r="Y78" t="s">
        <v>24</v>
      </c>
      <c r="AI78" t="s">
        <v>535</v>
      </c>
      <c r="AJ78" t="s">
        <v>536</v>
      </c>
      <c r="AK78" t="s">
        <v>165</v>
      </c>
      <c r="AL78">
        <v>1.35</v>
      </c>
      <c r="AM78">
        <v>52</v>
      </c>
      <c r="AN78" t="s">
        <v>71</v>
      </c>
      <c r="AO78" t="s">
        <v>537</v>
      </c>
      <c r="AR78">
        <v>26</v>
      </c>
      <c r="AS78">
        <v>7</v>
      </c>
      <c r="AT78">
        <v>14</v>
      </c>
      <c r="AU78">
        <v>0.42</v>
      </c>
      <c r="AV78">
        <v>0.84</v>
      </c>
      <c r="AW78">
        <v>0.74</v>
      </c>
      <c r="AX78">
        <v>2</v>
      </c>
      <c r="AY78">
        <f t="shared" si="1"/>
        <v>3.58</v>
      </c>
    </row>
    <row r="79" spans="1:51" x14ac:dyDescent="0.35">
      <c r="A79">
        <v>78</v>
      </c>
      <c r="B79" t="s">
        <v>51</v>
      </c>
      <c r="C79" t="s">
        <v>52</v>
      </c>
      <c r="D79" t="s">
        <v>246</v>
      </c>
      <c r="E79" t="s">
        <v>54</v>
      </c>
      <c r="F79" t="s">
        <v>100</v>
      </c>
      <c r="G79" t="s">
        <v>87</v>
      </c>
      <c r="H79" t="s">
        <v>168</v>
      </c>
      <c r="I79" t="s">
        <v>58</v>
      </c>
      <c r="J79" t="s">
        <v>102</v>
      </c>
      <c r="K79" t="s">
        <v>120</v>
      </c>
      <c r="L79" t="s">
        <v>61</v>
      </c>
      <c r="M79" t="s">
        <v>538</v>
      </c>
      <c r="O79" t="s">
        <v>135</v>
      </c>
      <c r="P79" t="s">
        <v>64</v>
      </c>
      <c r="U79" t="s">
        <v>92</v>
      </c>
      <c r="V79" t="s">
        <v>66</v>
      </c>
      <c r="X79" t="s">
        <v>539</v>
      </c>
      <c r="Y79" t="s">
        <v>24</v>
      </c>
      <c r="AI79" t="s">
        <v>540</v>
      </c>
      <c r="AJ79" t="s">
        <v>541</v>
      </c>
      <c r="AK79" t="s">
        <v>353</v>
      </c>
      <c r="AL79">
        <v>1.04</v>
      </c>
      <c r="AM79">
        <v>57</v>
      </c>
      <c r="AN79" t="s">
        <v>84</v>
      </c>
      <c r="AO79" t="s">
        <v>542</v>
      </c>
      <c r="AR79">
        <v>18</v>
      </c>
      <c r="AS79">
        <v>3</v>
      </c>
      <c r="AT79">
        <v>8</v>
      </c>
      <c r="AU79">
        <v>0.76</v>
      </c>
      <c r="AV79">
        <v>0.75</v>
      </c>
      <c r="AW79">
        <v>0.95</v>
      </c>
      <c r="AX79">
        <v>2.46</v>
      </c>
      <c r="AY79">
        <f t="shared" si="1"/>
        <v>4.16</v>
      </c>
    </row>
    <row r="80" spans="1:51" x14ac:dyDescent="0.35">
      <c r="A80">
        <v>79</v>
      </c>
      <c r="B80" t="s">
        <v>51</v>
      </c>
      <c r="C80" t="s">
        <v>52</v>
      </c>
      <c r="D80" t="s">
        <v>202</v>
      </c>
      <c r="E80" t="s">
        <v>54</v>
      </c>
      <c r="F80" t="s">
        <v>100</v>
      </c>
      <c r="G80" t="s">
        <v>56</v>
      </c>
      <c r="H80" t="s">
        <v>88</v>
      </c>
      <c r="I80" t="s">
        <v>119</v>
      </c>
      <c r="J80" t="s">
        <v>102</v>
      </c>
      <c r="K80" t="s">
        <v>211</v>
      </c>
      <c r="L80" t="s">
        <v>146</v>
      </c>
      <c r="M80" t="s">
        <v>103</v>
      </c>
      <c r="N80">
        <v>1</v>
      </c>
      <c r="O80" t="s">
        <v>148</v>
      </c>
      <c r="P80" t="s">
        <v>149</v>
      </c>
      <c r="U80" t="s">
        <v>92</v>
      </c>
      <c r="V80" t="s">
        <v>66</v>
      </c>
      <c r="X80" t="s">
        <v>543</v>
      </c>
      <c r="Y80" t="s">
        <v>24</v>
      </c>
      <c r="AI80" t="s">
        <v>544</v>
      </c>
      <c r="AJ80" t="s">
        <v>545</v>
      </c>
      <c r="AK80" t="s">
        <v>546</v>
      </c>
      <c r="AL80">
        <v>0.71</v>
      </c>
      <c r="AM80">
        <v>27</v>
      </c>
      <c r="AN80" t="s">
        <v>71</v>
      </c>
      <c r="AO80" t="s">
        <v>547</v>
      </c>
      <c r="AR80">
        <v>14</v>
      </c>
      <c r="AS80">
        <v>4</v>
      </c>
      <c r="AT80">
        <v>23</v>
      </c>
      <c r="AU80">
        <v>0.15</v>
      </c>
      <c r="AV80">
        <v>0.96</v>
      </c>
      <c r="AW80">
        <v>0.34</v>
      </c>
      <c r="AX80">
        <v>1.45</v>
      </c>
      <c r="AY80">
        <f t="shared" si="1"/>
        <v>2.75</v>
      </c>
    </row>
    <row r="81" spans="1:51" x14ac:dyDescent="0.35">
      <c r="A81">
        <v>80</v>
      </c>
      <c r="B81" t="s">
        <v>51</v>
      </c>
      <c r="C81" t="s">
        <v>52</v>
      </c>
      <c r="D81" t="s">
        <v>238</v>
      </c>
      <c r="E81" t="s">
        <v>54</v>
      </c>
      <c r="F81" t="s">
        <v>74</v>
      </c>
      <c r="G81" t="s">
        <v>56</v>
      </c>
      <c r="H81" t="s">
        <v>168</v>
      </c>
      <c r="I81" t="s">
        <v>119</v>
      </c>
      <c r="J81" t="s">
        <v>102</v>
      </c>
      <c r="K81" t="s">
        <v>77</v>
      </c>
      <c r="L81" t="s">
        <v>146</v>
      </c>
      <c r="M81" t="s">
        <v>548</v>
      </c>
      <c r="N81">
        <v>7</v>
      </c>
      <c r="O81" t="s">
        <v>148</v>
      </c>
      <c r="P81" t="s">
        <v>149</v>
      </c>
      <c r="U81" t="s">
        <v>92</v>
      </c>
      <c r="V81" t="s">
        <v>66</v>
      </c>
      <c r="X81" t="s">
        <v>549</v>
      </c>
      <c r="Y81" t="s">
        <v>24</v>
      </c>
      <c r="AI81" t="s">
        <v>550</v>
      </c>
      <c r="AJ81" t="s">
        <v>551</v>
      </c>
      <c r="AK81" t="s">
        <v>552</v>
      </c>
      <c r="AL81">
        <v>1.18</v>
      </c>
      <c r="AM81">
        <v>72</v>
      </c>
      <c r="AN81" t="s">
        <v>71</v>
      </c>
      <c r="AO81" t="s">
        <v>553</v>
      </c>
      <c r="AR81">
        <v>3</v>
      </c>
      <c r="AS81">
        <v>18</v>
      </c>
      <c r="AT81">
        <v>27</v>
      </c>
      <c r="AU81">
        <v>0.87</v>
      </c>
      <c r="AV81">
        <v>0.77</v>
      </c>
      <c r="AW81">
        <v>0.21</v>
      </c>
      <c r="AX81">
        <v>1.85</v>
      </c>
      <c r="AY81">
        <f t="shared" si="1"/>
        <v>2.83</v>
      </c>
    </row>
    <row r="82" spans="1:51" x14ac:dyDescent="0.35">
      <c r="A82">
        <v>81</v>
      </c>
      <c r="B82" t="s">
        <v>51</v>
      </c>
      <c r="C82" t="s">
        <v>52</v>
      </c>
      <c r="D82" t="s">
        <v>99</v>
      </c>
      <c r="E82" t="s">
        <v>54</v>
      </c>
      <c r="F82" t="s">
        <v>55</v>
      </c>
      <c r="G82" t="s">
        <v>56</v>
      </c>
      <c r="H82" t="s">
        <v>57</v>
      </c>
      <c r="I82" t="s">
        <v>119</v>
      </c>
      <c r="J82" t="s">
        <v>59</v>
      </c>
      <c r="K82" t="s">
        <v>77</v>
      </c>
      <c r="L82" t="s">
        <v>146</v>
      </c>
      <c r="M82" t="s">
        <v>240</v>
      </c>
      <c r="N82">
        <v>10</v>
      </c>
      <c r="O82" t="s">
        <v>148</v>
      </c>
      <c r="P82" t="s">
        <v>149</v>
      </c>
      <c r="U82" t="s">
        <v>92</v>
      </c>
      <c r="V82" t="s">
        <v>66</v>
      </c>
      <c r="X82" t="s">
        <v>554</v>
      </c>
      <c r="Y82" t="s">
        <v>24</v>
      </c>
      <c r="AI82" t="s">
        <v>555</v>
      </c>
      <c r="AJ82" t="s">
        <v>556</v>
      </c>
      <c r="AK82" t="s">
        <v>401</v>
      </c>
      <c r="AL82">
        <v>0.63</v>
      </c>
      <c r="AM82">
        <v>27</v>
      </c>
      <c r="AN82" t="s">
        <v>71</v>
      </c>
      <c r="AO82" t="s">
        <v>557</v>
      </c>
      <c r="AR82">
        <v>14</v>
      </c>
      <c r="AS82">
        <v>1</v>
      </c>
      <c r="AT82">
        <v>13</v>
      </c>
      <c r="AU82">
        <v>0.79</v>
      </c>
      <c r="AV82">
        <v>0.83</v>
      </c>
      <c r="AW82">
        <v>0.1</v>
      </c>
      <c r="AX82">
        <v>1.72</v>
      </c>
      <c r="AY82">
        <f t="shared" si="1"/>
        <v>2.65</v>
      </c>
    </row>
    <row r="83" spans="1:51" x14ac:dyDescent="0.35">
      <c r="A83">
        <v>82</v>
      </c>
      <c r="B83" t="s">
        <v>51</v>
      </c>
      <c r="C83" t="s">
        <v>52</v>
      </c>
      <c r="D83" t="s">
        <v>238</v>
      </c>
      <c r="E83" t="s">
        <v>54</v>
      </c>
      <c r="F83" t="s">
        <v>74</v>
      </c>
      <c r="G83" t="s">
        <v>56</v>
      </c>
      <c r="H83" t="s">
        <v>168</v>
      </c>
      <c r="I83" t="s">
        <v>119</v>
      </c>
      <c r="J83" t="s">
        <v>59</v>
      </c>
      <c r="K83" t="s">
        <v>89</v>
      </c>
      <c r="L83" t="s">
        <v>146</v>
      </c>
      <c r="M83" t="s">
        <v>489</v>
      </c>
      <c r="N83">
        <v>7</v>
      </c>
      <c r="O83" t="s">
        <v>148</v>
      </c>
      <c r="P83" t="s">
        <v>149</v>
      </c>
      <c r="U83" t="s">
        <v>65</v>
      </c>
      <c r="V83" t="s">
        <v>66</v>
      </c>
      <c r="X83" t="s">
        <v>558</v>
      </c>
      <c r="Y83" t="s">
        <v>24</v>
      </c>
      <c r="AI83" t="s">
        <v>559</v>
      </c>
      <c r="AJ83" t="s">
        <v>560</v>
      </c>
      <c r="AK83" t="s">
        <v>561</v>
      </c>
      <c r="AL83">
        <v>0.39</v>
      </c>
      <c r="AM83">
        <v>40</v>
      </c>
      <c r="AN83" t="s">
        <v>97</v>
      </c>
      <c r="AO83" t="s">
        <v>562</v>
      </c>
      <c r="AR83">
        <v>23</v>
      </c>
      <c r="AS83">
        <v>22</v>
      </c>
      <c r="AT83">
        <v>7</v>
      </c>
      <c r="AU83">
        <v>0.28999999999999998</v>
      </c>
      <c r="AV83">
        <v>0.56000000000000005</v>
      </c>
      <c r="AW83">
        <v>0.56999999999999995</v>
      </c>
      <c r="AX83">
        <v>1.42</v>
      </c>
      <c r="AY83">
        <f t="shared" si="1"/>
        <v>2.5499999999999998</v>
      </c>
    </row>
    <row r="84" spans="1:51" x14ac:dyDescent="0.35">
      <c r="A84">
        <v>83</v>
      </c>
      <c r="B84" t="s">
        <v>51</v>
      </c>
      <c r="C84" t="s">
        <v>52</v>
      </c>
      <c r="D84" t="s">
        <v>73</v>
      </c>
      <c r="E84" t="s">
        <v>54</v>
      </c>
      <c r="F84" t="s">
        <v>100</v>
      </c>
      <c r="G84" t="s">
        <v>56</v>
      </c>
      <c r="H84" t="s">
        <v>168</v>
      </c>
      <c r="I84" t="s">
        <v>128</v>
      </c>
      <c r="J84" t="s">
        <v>102</v>
      </c>
      <c r="K84" t="s">
        <v>60</v>
      </c>
      <c r="L84" t="s">
        <v>61</v>
      </c>
      <c r="M84" t="s">
        <v>563</v>
      </c>
      <c r="O84" t="s">
        <v>112</v>
      </c>
      <c r="P84" t="s">
        <v>64</v>
      </c>
      <c r="U84" t="s">
        <v>92</v>
      </c>
      <c r="V84" t="s">
        <v>66</v>
      </c>
      <c r="X84" t="s">
        <v>564</v>
      </c>
      <c r="Y84" t="s">
        <v>24</v>
      </c>
      <c r="AI84" t="s">
        <v>565</v>
      </c>
      <c r="AJ84" t="s">
        <v>566</v>
      </c>
      <c r="AK84" t="s">
        <v>567</v>
      </c>
      <c r="AL84">
        <v>0.36</v>
      </c>
      <c r="AM84">
        <v>56</v>
      </c>
      <c r="AN84" t="s">
        <v>71</v>
      </c>
      <c r="AO84" t="s">
        <v>568</v>
      </c>
      <c r="AR84">
        <v>21</v>
      </c>
      <c r="AS84">
        <v>16</v>
      </c>
      <c r="AT84">
        <v>30</v>
      </c>
      <c r="AU84">
        <v>0.53</v>
      </c>
      <c r="AV84">
        <v>0.53</v>
      </c>
      <c r="AW84">
        <v>0.92</v>
      </c>
      <c r="AX84">
        <v>1.98</v>
      </c>
      <c r="AY84">
        <f t="shared" si="1"/>
        <v>3.43</v>
      </c>
    </row>
    <row r="85" spans="1:51" x14ac:dyDescent="0.35">
      <c r="A85">
        <v>84</v>
      </c>
      <c r="B85" t="s">
        <v>51</v>
      </c>
      <c r="C85" t="s">
        <v>52</v>
      </c>
      <c r="D85" t="s">
        <v>86</v>
      </c>
      <c r="E85" t="s">
        <v>54</v>
      </c>
      <c r="F85" t="s">
        <v>55</v>
      </c>
      <c r="G85" t="s">
        <v>101</v>
      </c>
      <c r="H85" t="s">
        <v>75</v>
      </c>
      <c r="I85" t="s">
        <v>76</v>
      </c>
      <c r="J85" t="s">
        <v>59</v>
      </c>
      <c r="K85" t="s">
        <v>120</v>
      </c>
      <c r="L85" t="s">
        <v>146</v>
      </c>
      <c r="M85" t="s">
        <v>103</v>
      </c>
      <c r="N85">
        <v>9</v>
      </c>
      <c r="O85" t="s">
        <v>148</v>
      </c>
      <c r="P85" t="s">
        <v>149</v>
      </c>
      <c r="U85" t="s">
        <v>92</v>
      </c>
      <c r="V85" t="s">
        <v>66</v>
      </c>
      <c r="X85" t="s">
        <v>569</v>
      </c>
      <c r="Y85" t="s">
        <v>24</v>
      </c>
      <c r="AI85" t="s">
        <v>570</v>
      </c>
      <c r="AJ85" t="s">
        <v>571</v>
      </c>
      <c r="AK85" t="s">
        <v>131</v>
      </c>
      <c r="AL85">
        <v>1.21</v>
      </c>
      <c r="AM85">
        <v>48</v>
      </c>
      <c r="AN85" t="s">
        <v>71</v>
      </c>
      <c r="AO85" t="s">
        <v>572</v>
      </c>
      <c r="AR85">
        <v>25</v>
      </c>
      <c r="AS85">
        <v>11</v>
      </c>
      <c r="AT85">
        <v>15</v>
      </c>
      <c r="AU85">
        <v>0.52</v>
      </c>
      <c r="AV85">
        <v>0.67</v>
      </c>
      <c r="AW85">
        <v>0.83</v>
      </c>
      <c r="AX85">
        <v>2.02</v>
      </c>
      <c r="AY85">
        <f t="shared" si="1"/>
        <v>3.52</v>
      </c>
    </row>
    <row r="86" spans="1:51" x14ac:dyDescent="0.35">
      <c r="A86">
        <v>85</v>
      </c>
      <c r="B86" t="s">
        <v>51</v>
      </c>
      <c r="C86" t="s">
        <v>52</v>
      </c>
      <c r="D86" t="s">
        <v>325</v>
      </c>
      <c r="E86" t="s">
        <v>54</v>
      </c>
      <c r="F86" t="s">
        <v>100</v>
      </c>
      <c r="G86" t="s">
        <v>87</v>
      </c>
      <c r="H86" t="s">
        <v>57</v>
      </c>
      <c r="I86" t="s">
        <v>58</v>
      </c>
      <c r="J86" t="s">
        <v>59</v>
      </c>
      <c r="K86" t="s">
        <v>77</v>
      </c>
      <c r="L86" t="s">
        <v>61</v>
      </c>
      <c r="M86" t="s">
        <v>252</v>
      </c>
      <c r="O86" t="s">
        <v>573</v>
      </c>
      <c r="P86" t="s">
        <v>64</v>
      </c>
      <c r="U86" t="s">
        <v>65</v>
      </c>
      <c r="V86" t="s">
        <v>66</v>
      </c>
      <c r="X86" t="s">
        <v>574</v>
      </c>
      <c r="Y86" t="s">
        <v>24</v>
      </c>
      <c r="AI86" t="s">
        <v>575</v>
      </c>
      <c r="AJ86" t="s">
        <v>576</v>
      </c>
      <c r="AK86" t="s">
        <v>552</v>
      </c>
      <c r="AL86">
        <v>0.15</v>
      </c>
      <c r="AM86">
        <v>36</v>
      </c>
      <c r="AN86" t="s">
        <v>84</v>
      </c>
      <c r="AO86" t="s">
        <v>577</v>
      </c>
      <c r="AR86">
        <v>5</v>
      </c>
      <c r="AS86">
        <v>23</v>
      </c>
      <c r="AT86">
        <v>3</v>
      </c>
      <c r="AU86">
        <v>0.87</v>
      </c>
      <c r="AV86">
        <v>0.12</v>
      </c>
      <c r="AW86">
        <v>0.65</v>
      </c>
      <c r="AX86">
        <v>1.64</v>
      </c>
      <c r="AY86">
        <f t="shared" si="1"/>
        <v>2.41</v>
      </c>
    </row>
    <row r="87" spans="1:51" x14ac:dyDescent="0.35">
      <c r="A87">
        <v>86</v>
      </c>
      <c r="B87" t="s">
        <v>51</v>
      </c>
      <c r="C87" t="s">
        <v>52</v>
      </c>
      <c r="D87" t="s">
        <v>167</v>
      </c>
      <c r="E87" t="s">
        <v>54</v>
      </c>
      <c r="F87" t="s">
        <v>55</v>
      </c>
      <c r="G87" t="s">
        <v>87</v>
      </c>
      <c r="H87" t="s">
        <v>88</v>
      </c>
      <c r="I87" t="s">
        <v>169</v>
      </c>
      <c r="J87" t="s">
        <v>102</v>
      </c>
      <c r="K87" t="s">
        <v>110</v>
      </c>
      <c r="L87" t="s">
        <v>61</v>
      </c>
      <c r="M87" t="s">
        <v>578</v>
      </c>
      <c r="O87" t="s">
        <v>224</v>
      </c>
      <c r="P87" t="s">
        <v>64</v>
      </c>
      <c r="U87" t="s">
        <v>92</v>
      </c>
      <c r="V87" t="s">
        <v>66</v>
      </c>
      <c r="X87" t="s">
        <v>579</v>
      </c>
      <c r="Y87" t="s">
        <v>24</v>
      </c>
      <c r="AI87" t="s">
        <v>580</v>
      </c>
      <c r="AJ87" t="s">
        <v>581</v>
      </c>
      <c r="AK87" t="s">
        <v>187</v>
      </c>
      <c r="AL87">
        <v>1.38</v>
      </c>
      <c r="AM87">
        <v>37</v>
      </c>
      <c r="AN87" t="s">
        <v>97</v>
      </c>
      <c r="AO87" t="s">
        <v>582</v>
      </c>
      <c r="AR87">
        <v>22</v>
      </c>
      <c r="AS87">
        <v>17</v>
      </c>
      <c r="AT87">
        <v>15</v>
      </c>
      <c r="AU87">
        <v>0.14000000000000001</v>
      </c>
      <c r="AV87">
        <v>0.38</v>
      </c>
      <c r="AW87">
        <v>0.96</v>
      </c>
      <c r="AX87">
        <v>1.48</v>
      </c>
      <c r="AY87">
        <f t="shared" si="1"/>
        <v>2.82</v>
      </c>
    </row>
    <row r="88" spans="1:51" x14ac:dyDescent="0.35">
      <c r="A88">
        <v>87</v>
      </c>
      <c r="B88" t="s">
        <v>51</v>
      </c>
      <c r="C88" t="s">
        <v>52</v>
      </c>
      <c r="D88" t="s">
        <v>202</v>
      </c>
      <c r="E88" t="s">
        <v>54</v>
      </c>
      <c r="F88" t="s">
        <v>74</v>
      </c>
      <c r="G88" t="s">
        <v>87</v>
      </c>
      <c r="H88" t="s">
        <v>168</v>
      </c>
      <c r="I88" t="s">
        <v>58</v>
      </c>
      <c r="J88" t="s">
        <v>102</v>
      </c>
      <c r="K88" t="s">
        <v>129</v>
      </c>
      <c r="L88" t="s">
        <v>146</v>
      </c>
      <c r="M88" t="s">
        <v>338</v>
      </c>
      <c r="N88">
        <v>2</v>
      </c>
      <c r="O88" t="s">
        <v>148</v>
      </c>
      <c r="P88" t="s">
        <v>149</v>
      </c>
      <c r="U88" t="s">
        <v>65</v>
      </c>
      <c r="V88" t="s">
        <v>66</v>
      </c>
      <c r="X88" t="s">
        <v>583</v>
      </c>
      <c r="Y88" t="s">
        <v>24</v>
      </c>
      <c r="AI88" t="s">
        <v>584</v>
      </c>
      <c r="AJ88" t="s">
        <v>585</v>
      </c>
      <c r="AK88" t="s">
        <v>108</v>
      </c>
      <c r="AL88">
        <v>1.25</v>
      </c>
      <c r="AM88">
        <v>77</v>
      </c>
      <c r="AN88" t="s">
        <v>97</v>
      </c>
      <c r="AO88" t="s">
        <v>586</v>
      </c>
      <c r="AR88">
        <v>20</v>
      </c>
      <c r="AS88">
        <v>22</v>
      </c>
      <c r="AT88">
        <v>11</v>
      </c>
      <c r="AU88">
        <v>0.45</v>
      </c>
      <c r="AV88">
        <v>0.54</v>
      </c>
      <c r="AW88">
        <v>0.96</v>
      </c>
      <c r="AX88">
        <v>1.95</v>
      </c>
      <c r="AY88">
        <f t="shared" si="1"/>
        <v>3.45</v>
      </c>
    </row>
    <row r="89" spans="1:51" x14ac:dyDescent="0.35">
      <c r="A89">
        <v>88</v>
      </c>
      <c r="B89" t="s">
        <v>51</v>
      </c>
      <c r="C89" t="s">
        <v>52</v>
      </c>
      <c r="D89" t="s">
        <v>332</v>
      </c>
      <c r="E89" t="s">
        <v>54</v>
      </c>
      <c r="F89" t="s">
        <v>55</v>
      </c>
      <c r="G89" t="s">
        <v>101</v>
      </c>
      <c r="H89" t="s">
        <v>75</v>
      </c>
      <c r="I89" t="s">
        <v>58</v>
      </c>
      <c r="J89" t="s">
        <v>102</v>
      </c>
      <c r="K89" t="s">
        <v>137</v>
      </c>
      <c r="L89" t="s">
        <v>61</v>
      </c>
      <c r="M89" t="s">
        <v>266</v>
      </c>
      <c r="O89" t="s">
        <v>228</v>
      </c>
      <c r="P89" t="s">
        <v>64</v>
      </c>
      <c r="U89" t="s">
        <v>92</v>
      </c>
      <c r="V89" t="s">
        <v>66</v>
      </c>
      <c r="X89" t="s">
        <v>587</v>
      </c>
      <c r="Y89" t="s">
        <v>24</v>
      </c>
      <c r="AI89" t="s">
        <v>588</v>
      </c>
      <c r="AJ89" t="s">
        <v>589</v>
      </c>
      <c r="AK89" t="s">
        <v>561</v>
      </c>
      <c r="AL89">
        <v>0.25</v>
      </c>
      <c r="AM89">
        <v>22</v>
      </c>
      <c r="AN89" t="s">
        <v>97</v>
      </c>
      <c r="AO89" t="s">
        <v>590</v>
      </c>
      <c r="AR89">
        <v>16</v>
      </c>
      <c r="AS89">
        <v>30</v>
      </c>
      <c r="AT89">
        <v>2</v>
      </c>
      <c r="AU89">
        <v>0.28000000000000003</v>
      </c>
      <c r="AV89">
        <v>0.34</v>
      </c>
      <c r="AW89">
        <v>0.83</v>
      </c>
      <c r="AX89">
        <v>1.45</v>
      </c>
      <c r="AY89">
        <f t="shared" si="1"/>
        <v>2.62</v>
      </c>
    </row>
    <row r="90" spans="1:51" x14ac:dyDescent="0.35">
      <c r="A90">
        <v>89</v>
      </c>
      <c r="B90" t="s">
        <v>51</v>
      </c>
      <c r="C90" t="s">
        <v>52</v>
      </c>
      <c r="D90" t="s">
        <v>381</v>
      </c>
      <c r="E90" t="s">
        <v>54</v>
      </c>
      <c r="F90" t="s">
        <v>100</v>
      </c>
      <c r="G90" t="s">
        <v>101</v>
      </c>
      <c r="H90" t="s">
        <v>88</v>
      </c>
      <c r="I90" t="s">
        <v>58</v>
      </c>
      <c r="J90" t="s">
        <v>59</v>
      </c>
      <c r="K90" t="s">
        <v>60</v>
      </c>
      <c r="L90" t="s">
        <v>61</v>
      </c>
      <c r="M90" t="s">
        <v>591</v>
      </c>
      <c r="O90" t="s">
        <v>267</v>
      </c>
      <c r="P90" t="s">
        <v>64</v>
      </c>
      <c r="U90" t="s">
        <v>65</v>
      </c>
      <c r="V90" t="s">
        <v>66</v>
      </c>
      <c r="X90" t="s">
        <v>592</v>
      </c>
      <c r="Y90" t="s">
        <v>24</v>
      </c>
      <c r="AI90" t="s">
        <v>593</v>
      </c>
      <c r="AJ90" t="s">
        <v>594</v>
      </c>
      <c r="AK90" t="s">
        <v>63</v>
      </c>
      <c r="AL90">
        <v>1.25</v>
      </c>
      <c r="AM90">
        <v>26</v>
      </c>
      <c r="AN90" t="s">
        <v>97</v>
      </c>
      <c r="AO90" t="s">
        <v>595</v>
      </c>
      <c r="AR90">
        <v>23</v>
      </c>
      <c r="AS90">
        <v>26</v>
      </c>
      <c r="AT90">
        <v>3</v>
      </c>
      <c r="AU90">
        <v>0.75</v>
      </c>
      <c r="AV90">
        <v>0.23</v>
      </c>
      <c r="AW90">
        <v>0.16</v>
      </c>
      <c r="AX90">
        <v>1.1399999999999999</v>
      </c>
      <c r="AY90">
        <f t="shared" si="1"/>
        <v>1.5299999999999998</v>
      </c>
    </row>
    <row r="91" spans="1:51" x14ac:dyDescent="0.35">
      <c r="A91">
        <v>90</v>
      </c>
      <c r="B91" t="s">
        <v>51</v>
      </c>
      <c r="C91" t="s">
        <v>52</v>
      </c>
      <c r="D91" t="s">
        <v>145</v>
      </c>
      <c r="E91" t="s">
        <v>54</v>
      </c>
      <c r="F91" t="s">
        <v>74</v>
      </c>
      <c r="G91" t="s">
        <v>101</v>
      </c>
      <c r="H91" t="s">
        <v>75</v>
      </c>
      <c r="I91" t="s">
        <v>58</v>
      </c>
      <c r="J91" t="s">
        <v>102</v>
      </c>
      <c r="K91" t="s">
        <v>129</v>
      </c>
      <c r="L91" t="s">
        <v>61</v>
      </c>
      <c r="M91" t="s">
        <v>298</v>
      </c>
      <c r="O91" t="s">
        <v>401</v>
      </c>
      <c r="P91" t="s">
        <v>64</v>
      </c>
      <c r="U91" t="s">
        <v>92</v>
      </c>
      <c r="V91" t="s">
        <v>66</v>
      </c>
      <c r="X91" t="s">
        <v>596</v>
      </c>
      <c r="Y91" t="s">
        <v>24</v>
      </c>
      <c r="AI91" t="s">
        <v>597</v>
      </c>
      <c r="AJ91" t="s">
        <v>598</v>
      </c>
      <c r="AK91" t="s">
        <v>131</v>
      </c>
      <c r="AL91">
        <v>1.1499999999999999</v>
      </c>
      <c r="AM91">
        <v>23</v>
      </c>
      <c r="AN91" t="s">
        <v>71</v>
      </c>
      <c r="AO91" t="s">
        <v>599</v>
      </c>
      <c r="AR91">
        <v>28</v>
      </c>
      <c r="AS91">
        <v>7</v>
      </c>
      <c r="AT91">
        <v>16</v>
      </c>
      <c r="AU91">
        <v>0.2</v>
      </c>
      <c r="AV91">
        <v>0.56000000000000005</v>
      </c>
      <c r="AW91">
        <v>0.49</v>
      </c>
      <c r="AX91">
        <v>1.25</v>
      </c>
      <c r="AY91">
        <f t="shared" si="1"/>
        <v>2.2999999999999998</v>
      </c>
    </row>
    <row r="92" spans="1:51" x14ac:dyDescent="0.35">
      <c r="A92">
        <v>91</v>
      </c>
      <c r="B92" t="s">
        <v>51</v>
      </c>
      <c r="C92" t="s">
        <v>52</v>
      </c>
      <c r="D92" t="s">
        <v>177</v>
      </c>
      <c r="E92" t="s">
        <v>54</v>
      </c>
      <c r="F92" t="s">
        <v>74</v>
      </c>
      <c r="G92" t="s">
        <v>56</v>
      </c>
      <c r="H92" t="s">
        <v>88</v>
      </c>
      <c r="I92" t="s">
        <v>169</v>
      </c>
      <c r="J92" t="s">
        <v>102</v>
      </c>
      <c r="K92" t="s">
        <v>60</v>
      </c>
      <c r="L92" t="s">
        <v>61</v>
      </c>
      <c r="M92" t="s">
        <v>155</v>
      </c>
      <c r="O92" t="s">
        <v>500</v>
      </c>
      <c r="P92" t="s">
        <v>64</v>
      </c>
      <c r="U92" t="s">
        <v>65</v>
      </c>
      <c r="V92" t="s">
        <v>66</v>
      </c>
      <c r="X92" t="s">
        <v>600</v>
      </c>
      <c r="Y92" t="s">
        <v>24</v>
      </c>
      <c r="AI92" t="s">
        <v>601</v>
      </c>
      <c r="AJ92" t="s">
        <v>602</v>
      </c>
      <c r="AK92" t="s">
        <v>130</v>
      </c>
      <c r="AL92">
        <v>0.96</v>
      </c>
      <c r="AM92">
        <v>24</v>
      </c>
      <c r="AN92" t="s">
        <v>71</v>
      </c>
      <c r="AO92" t="s">
        <v>603</v>
      </c>
      <c r="AR92">
        <v>12</v>
      </c>
      <c r="AS92">
        <v>5</v>
      </c>
      <c r="AT92">
        <v>25</v>
      </c>
      <c r="AU92">
        <v>0.71</v>
      </c>
      <c r="AV92">
        <v>0.24</v>
      </c>
      <c r="AW92">
        <v>0.67</v>
      </c>
      <c r="AX92">
        <v>1.62</v>
      </c>
      <c r="AY92">
        <f t="shared" si="1"/>
        <v>2.5300000000000002</v>
      </c>
    </row>
    <row r="93" spans="1:51" x14ac:dyDescent="0.35">
      <c r="A93">
        <v>92</v>
      </c>
      <c r="B93" t="s">
        <v>51</v>
      </c>
      <c r="C93" t="s">
        <v>52</v>
      </c>
      <c r="D93" t="s">
        <v>145</v>
      </c>
      <c r="E93" t="s">
        <v>54</v>
      </c>
      <c r="F93" t="s">
        <v>100</v>
      </c>
      <c r="G93" t="s">
        <v>56</v>
      </c>
      <c r="H93" t="s">
        <v>57</v>
      </c>
      <c r="I93" t="s">
        <v>76</v>
      </c>
      <c r="J93" t="s">
        <v>102</v>
      </c>
      <c r="K93" t="s">
        <v>137</v>
      </c>
      <c r="L93" t="s">
        <v>146</v>
      </c>
      <c r="M93" t="s">
        <v>111</v>
      </c>
      <c r="N93">
        <v>9</v>
      </c>
      <c r="O93" t="s">
        <v>148</v>
      </c>
      <c r="P93" t="s">
        <v>149</v>
      </c>
      <c r="U93" t="s">
        <v>65</v>
      </c>
      <c r="V93" t="s">
        <v>66</v>
      </c>
      <c r="X93" t="s">
        <v>604</v>
      </c>
      <c r="Y93" t="s">
        <v>24</v>
      </c>
      <c r="AI93" t="s">
        <v>605</v>
      </c>
      <c r="AJ93" t="s">
        <v>606</v>
      </c>
      <c r="AK93" t="s">
        <v>178</v>
      </c>
      <c r="AL93">
        <v>0.9</v>
      </c>
      <c r="AM93">
        <v>67</v>
      </c>
      <c r="AN93" t="s">
        <v>84</v>
      </c>
      <c r="AO93" t="s">
        <v>607</v>
      </c>
      <c r="AR93">
        <v>21</v>
      </c>
      <c r="AS93">
        <v>19</v>
      </c>
      <c r="AT93">
        <v>26</v>
      </c>
      <c r="AU93">
        <v>0.43</v>
      </c>
      <c r="AV93">
        <v>0.87</v>
      </c>
      <c r="AW93">
        <v>1</v>
      </c>
      <c r="AX93">
        <v>2.2999999999999998</v>
      </c>
      <c r="AY93">
        <f t="shared" si="1"/>
        <v>4.17</v>
      </c>
    </row>
    <row r="94" spans="1:51" x14ac:dyDescent="0.35">
      <c r="A94">
        <v>93</v>
      </c>
      <c r="B94" t="s">
        <v>51</v>
      </c>
      <c r="C94" t="s">
        <v>52</v>
      </c>
      <c r="D94" t="s">
        <v>202</v>
      </c>
      <c r="E94" t="s">
        <v>54</v>
      </c>
      <c r="F94" t="s">
        <v>55</v>
      </c>
      <c r="G94" t="s">
        <v>101</v>
      </c>
      <c r="H94" t="s">
        <v>57</v>
      </c>
      <c r="I94" t="s">
        <v>119</v>
      </c>
      <c r="J94" t="s">
        <v>59</v>
      </c>
      <c r="K94" t="s">
        <v>129</v>
      </c>
      <c r="L94" t="s">
        <v>61</v>
      </c>
      <c r="M94" t="s">
        <v>312</v>
      </c>
      <c r="O94" t="s">
        <v>608</v>
      </c>
      <c r="P94" t="s">
        <v>64</v>
      </c>
      <c r="U94" t="s">
        <v>65</v>
      </c>
      <c r="V94" t="s">
        <v>66</v>
      </c>
      <c r="X94" t="s">
        <v>609</v>
      </c>
      <c r="Y94" t="s">
        <v>24</v>
      </c>
      <c r="AI94" t="s">
        <v>610</v>
      </c>
      <c r="AJ94" t="s">
        <v>611</v>
      </c>
      <c r="AK94" t="s">
        <v>138</v>
      </c>
      <c r="AL94">
        <v>1.07</v>
      </c>
      <c r="AM94">
        <v>24</v>
      </c>
      <c r="AN94" t="s">
        <v>71</v>
      </c>
      <c r="AO94" t="s">
        <v>612</v>
      </c>
      <c r="AR94">
        <v>22</v>
      </c>
      <c r="AS94">
        <v>18</v>
      </c>
      <c r="AT94">
        <v>7</v>
      </c>
      <c r="AU94">
        <v>0.26</v>
      </c>
      <c r="AV94">
        <v>0.74</v>
      </c>
      <c r="AW94">
        <v>0.22</v>
      </c>
      <c r="AX94">
        <v>1.22</v>
      </c>
      <c r="AY94">
        <f t="shared" si="1"/>
        <v>2.1799999999999997</v>
      </c>
    </row>
    <row r="95" spans="1:51" x14ac:dyDescent="0.35">
      <c r="A95">
        <v>94</v>
      </c>
      <c r="B95" t="s">
        <v>51</v>
      </c>
      <c r="C95" t="s">
        <v>52</v>
      </c>
      <c r="D95" t="s">
        <v>53</v>
      </c>
      <c r="E95" t="s">
        <v>54</v>
      </c>
      <c r="F95" t="s">
        <v>74</v>
      </c>
      <c r="G95" t="s">
        <v>87</v>
      </c>
      <c r="H95" t="s">
        <v>75</v>
      </c>
      <c r="I95" t="s">
        <v>58</v>
      </c>
      <c r="J95" t="s">
        <v>59</v>
      </c>
      <c r="K95" t="s">
        <v>226</v>
      </c>
      <c r="L95" t="s">
        <v>146</v>
      </c>
      <c r="M95" t="s">
        <v>425</v>
      </c>
      <c r="N95">
        <v>3</v>
      </c>
      <c r="O95" t="s">
        <v>148</v>
      </c>
      <c r="P95" t="s">
        <v>149</v>
      </c>
      <c r="U95" t="s">
        <v>65</v>
      </c>
      <c r="V95" t="s">
        <v>66</v>
      </c>
      <c r="X95" t="s">
        <v>613</v>
      </c>
      <c r="Y95" t="s">
        <v>24</v>
      </c>
      <c r="AI95" t="s">
        <v>614</v>
      </c>
      <c r="AJ95" t="s">
        <v>615</v>
      </c>
      <c r="AK95" t="s">
        <v>616</v>
      </c>
      <c r="AL95">
        <v>0.12</v>
      </c>
      <c r="AM95">
        <v>67</v>
      </c>
      <c r="AN95" t="s">
        <v>84</v>
      </c>
      <c r="AO95" t="s">
        <v>617</v>
      </c>
      <c r="AR95">
        <v>27</v>
      </c>
      <c r="AS95">
        <v>22</v>
      </c>
      <c r="AT95">
        <v>11</v>
      </c>
      <c r="AU95">
        <v>0.41</v>
      </c>
      <c r="AV95">
        <v>0.81</v>
      </c>
      <c r="AW95">
        <v>0.79</v>
      </c>
      <c r="AX95">
        <v>2.0099999999999998</v>
      </c>
      <c r="AY95">
        <f t="shared" si="1"/>
        <v>3.61</v>
      </c>
    </row>
    <row r="96" spans="1:51" x14ac:dyDescent="0.35">
      <c r="A96">
        <v>95</v>
      </c>
      <c r="B96" t="s">
        <v>51</v>
      </c>
      <c r="C96" t="s">
        <v>52</v>
      </c>
      <c r="D96" t="s">
        <v>86</v>
      </c>
      <c r="E96" t="s">
        <v>54</v>
      </c>
      <c r="F96" t="s">
        <v>55</v>
      </c>
      <c r="G96" t="s">
        <v>87</v>
      </c>
      <c r="H96" t="s">
        <v>168</v>
      </c>
      <c r="I96" t="s">
        <v>169</v>
      </c>
      <c r="J96" t="s">
        <v>102</v>
      </c>
      <c r="K96" t="s">
        <v>226</v>
      </c>
      <c r="L96" t="s">
        <v>61</v>
      </c>
      <c r="M96" t="s">
        <v>496</v>
      </c>
      <c r="O96" t="s">
        <v>183</v>
      </c>
      <c r="P96" t="s">
        <v>64</v>
      </c>
      <c r="U96" t="s">
        <v>65</v>
      </c>
      <c r="V96" t="s">
        <v>66</v>
      </c>
      <c r="X96" t="s">
        <v>618</v>
      </c>
      <c r="Y96" t="s">
        <v>24</v>
      </c>
      <c r="AI96" t="s">
        <v>619</v>
      </c>
      <c r="AJ96" t="s">
        <v>620</v>
      </c>
      <c r="AK96" t="s">
        <v>264</v>
      </c>
      <c r="AL96">
        <v>1.47</v>
      </c>
      <c r="AM96">
        <v>65</v>
      </c>
      <c r="AN96" t="s">
        <v>97</v>
      </c>
      <c r="AO96" t="s">
        <v>621</v>
      </c>
      <c r="AR96">
        <v>14</v>
      </c>
      <c r="AS96">
        <v>10</v>
      </c>
      <c r="AT96">
        <v>15</v>
      </c>
      <c r="AU96">
        <v>0.65</v>
      </c>
      <c r="AV96">
        <v>0.67</v>
      </c>
      <c r="AW96">
        <v>0.64</v>
      </c>
      <c r="AX96">
        <v>1.96</v>
      </c>
      <c r="AY96">
        <f t="shared" si="1"/>
        <v>3.27</v>
      </c>
    </row>
    <row r="97" spans="1:51" x14ac:dyDescent="0.35">
      <c r="A97">
        <v>96</v>
      </c>
      <c r="B97" t="s">
        <v>51</v>
      </c>
      <c r="C97" t="s">
        <v>52</v>
      </c>
      <c r="D97" t="s">
        <v>53</v>
      </c>
      <c r="E97" t="s">
        <v>54</v>
      </c>
      <c r="F97" t="s">
        <v>74</v>
      </c>
      <c r="G97" t="s">
        <v>101</v>
      </c>
      <c r="H97" t="s">
        <v>57</v>
      </c>
      <c r="I97" t="s">
        <v>128</v>
      </c>
      <c r="J97" t="s">
        <v>59</v>
      </c>
      <c r="K97" t="s">
        <v>77</v>
      </c>
      <c r="L97" t="s">
        <v>61</v>
      </c>
      <c r="M97" t="s">
        <v>622</v>
      </c>
      <c r="O97" t="s">
        <v>505</v>
      </c>
      <c r="P97" t="s">
        <v>64</v>
      </c>
      <c r="U97" t="s">
        <v>65</v>
      </c>
      <c r="V97" t="s">
        <v>66</v>
      </c>
      <c r="X97" t="s">
        <v>623</v>
      </c>
      <c r="Y97" t="s">
        <v>24</v>
      </c>
      <c r="AI97" t="s">
        <v>624</v>
      </c>
      <c r="AJ97" t="s">
        <v>625</v>
      </c>
      <c r="AK97" t="s">
        <v>626</v>
      </c>
      <c r="AL97">
        <v>0.78</v>
      </c>
      <c r="AM97">
        <v>75</v>
      </c>
      <c r="AN97" t="s">
        <v>84</v>
      </c>
      <c r="AO97" t="s">
        <v>627</v>
      </c>
      <c r="AR97">
        <v>5</v>
      </c>
      <c r="AS97">
        <v>5</v>
      </c>
      <c r="AT97">
        <v>18</v>
      </c>
      <c r="AU97">
        <v>0.25</v>
      </c>
      <c r="AV97">
        <v>0.1</v>
      </c>
      <c r="AW97">
        <v>0.21</v>
      </c>
      <c r="AX97">
        <v>0.56000000000000005</v>
      </c>
      <c r="AY97">
        <f t="shared" si="1"/>
        <v>0.87000000000000011</v>
      </c>
    </row>
    <row r="98" spans="1:51" x14ac:dyDescent="0.35">
      <c r="A98">
        <v>97</v>
      </c>
      <c r="B98" t="s">
        <v>51</v>
      </c>
      <c r="C98" t="s">
        <v>52</v>
      </c>
      <c r="D98" t="s">
        <v>53</v>
      </c>
      <c r="E98" t="s">
        <v>54</v>
      </c>
      <c r="F98" t="s">
        <v>74</v>
      </c>
      <c r="G98" t="s">
        <v>56</v>
      </c>
      <c r="H98" t="s">
        <v>75</v>
      </c>
      <c r="I98" t="s">
        <v>128</v>
      </c>
      <c r="J98" t="s">
        <v>102</v>
      </c>
      <c r="K98" t="s">
        <v>170</v>
      </c>
      <c r="L98" t="s">
        <v>61</v>
      </c>
      <c r="M98" t="s">
        <v>628</v>
      </c>
      <c r="O98" t="s">
        <v>178</v>
      </c>
      <c r="P98" t="s">
        <v>64</v>
      </c>
      <c r="U98" t="s">
        <v>65</v>
      </c>
      <c r="V98" t="s">
        <v>66</v>
      </c>
      <c r="X98" t="s">
        <v>629</v>
      </c>
      <c r="Y98" t="s">
        <v>24</v>
      </c>
      <c r="AI98" t="s">
        <v>630</v>
      </c>
      <c r="AJ98" t="s">
        <v>631</v>
      </c>
      <c r="AK98" t="s">
        <v>632</v>
      </c>
      <c r="AL98">
        <v>0.99</v>
      </c>
      <c r="AM98">
        <v>44</v>
      </c>
      <c r="AN98" t="s">
        <v>71</v>
      </c>
      <c r="AO98" t="s">
        <v>633</v>
      </c>
      <c r="AR98">
        <v>30</v>
      </c>
      <c r="AS98">
        <v>21</v>
      </c>
      <c r="AT98">
        <v>2</v>
      </c>
      <c r="AU98">
        <v>0.43</v>
      </c>
      <c r="AV98">
        <v>0.17</v>
      </c>
      <c r="AW98">
        <v>0.17</v>
      </c>
      <c r="AX98">
        <v>0.77</v>
      </c>
      <c r="AY98">
        <f t="shared" si="1"/>
        <v>1.1100000000000001</v>
      </c>
    </row>
    <row r="99" spans="1:51" x14ac:dyDescent="0.35">
      <c r="A99">
        <v>98</v>
      </c>
      <c r="B99" t="s">
        <v>51</v>
      </c>
      <c r="C99" t="s">
        <v>52</v>
      </c>
      <c r="D99" t="s">
        <v>238</v>
      </c>
      <c r="E99" t="s">
        <v>54</v>
      </c>
      <c r="F99" t="s">
        <v>100</v>
      </c>
      <c r="G99" t="s">
        <v>87</v>
      </c>
      <c r="H99" t="s">
        <v>168</v>
      </c>
      <c r="I99" t="s">
        <v>169</v>
      </c>
      <c r="J99" t="s">
        <v>59</v>
      </c>
      <c r="K99" t="s">
        <v>89</v>
      </c>
      <c r="L99" t="s">
        <v>61</v>
      </c>
      <c r="M99" t="s">
        <v>375</v>
      </c>
      <c r="O99" t="s">
        <v>91</v>
      </c>
      <c r="P99" t="s">
        <v>64</v>
      </c>
      <c r="U99" t="s">
        <v>92</v>
      </c>
      <c r="V99" t="s">
        <v>66</v>
      </c>
      <c r="X99" t="s">
        <v>634</v>
      </c>
      <c r="Y99" t="s">
        <v>24</v>
      </c>
      <c r="AI99" t="s">
        <v>635</v>
      </c>
      <c r="AJ99" t="s">
        <v>636</v>
      </c>
      <c r="AK99" t="s">
        <v>165</v>
      </c>
      <c r="AL99">
        <v>0.88</v>
      </c>
      <c r="AM99">
        <v>47</v>
      </c>
      <c r="AN99" t="s">
        <v>84</v>
      </c>
      <c r="AO99" t="s">
        <v>637</v>
      </c>
      <c r="AR99">
        <v>15</v>
      </c>
      <c r="AS99">
        <v>1</v>
      </c>
      <c r="AT99">
        <v>23</v>
      </c>
      <c r="AU99">
        <v>0.98</v>
      </c>
      <c r="AV99">
        <v>0.24</v>
      </c>
      <c r="AW99">
        <v>0.84</v>
      </c>
      <c r="AX99">
        <v>2.06</v>
      </c>
      <c r="AY99">
        <f t="shared" si="1"/>
        <v>3.14</v>
      </c>
    </row>
    <row r="100" spans="1:51" x14ac:dyDescent="0.35">
      <c r="A100">
        <v>99</v>
      </c>
      <c r="B100" t="s">
        <v>51</v>
      </c>
      <c r="C100" t="s">
        <v>52</v>
      </c>
      <c r="D100" t="s">
        <v>177</v>
      </c>
      <c r="E100" t="s">
        <v>54</v>
      </c>
      <c r="F100" t="s">
        <v>55</v>
      </c>
      <c r="G100" t="s">
        <v>101</v>
      </c>
      <c r="H100" t="s">
        <v>75</v>
      </c>
      <c r="I100" t="s">
        <v>169</v>
      </c>
      <c r="J100" t="s">
        <v>59</v>
      </c>
      <c r="K100" t="s">
        <v>120</v>
      </c>
      <c r="L100" t="s">
        <v>61</v>
      </c>
      <c r="M100" t="s">
        <v>130</v>
      </c>
      <c r="O100" t="s">
        <v>518</v>
      </c>
      <c r="P100" t="s">
        <v>64</v>
      </c>
      <c r="U100" t="s">
        <v>65</v>
      </c>
      <c r="V100" t="s">
        <v>66</v>
      </c>
      <c r="X100" t="s">
        <v>638</v>
      </c>
      <c r="Y100" t="s">
        <v>24</v>
      </c>
      <c r="AI100" t="s">
        <v>639</v>
      </c>
      <c r="AJ100" t="s">
        <v>640</v>
      </c>
      <c r="AK100" t="s">
        <v>344</v>
      </c>
      <c r="AL100">
        <v>0.59</v>
      </c>
      <c r="AM100">
        <v>39</v>
      </c>
      <c r="AN100" t="s">
        <v>84</v>
      </c>
      <c r="AO100" t="s">
        <v>641</v>
      </c>
      <c r="AR100">
        <v>5</v>
      </c>
      <c r="AS100">
        <v>17</v>
      </c>
      <c r="AT100">
        <v>6</v>
      </c>
      <c r="AU100">
        <v>0.44</v>
      </c>
      <c r="AV100">
        <v>0.61</v>
      </c>
      <c r="AW100">
        <v>0.83</v>
      </c>
      <c r="AX100">
        <v>1.88</v>
      </c>
      <c r="AY100">
        <f t="shared" si="1"/>
        <v>3.32</v>
      </c>
    </row>
    <row r="101" spans="1:51" x14ac:dyDescent="0.35">
      <c r="A101">
        <v>100</v>
      </c>
      <c r="B101" t="s">
        <v>51</v>
      </c>
      <c r="C101" t="s">
        <v>52</v>
      </c>
      <c r="D101" t="s">
        <v>332</v>
      </c>
      <c r="E101" t="s">
        <v>54</v>
      </c>
      <c r="F101" t="s">
        <v>74</v>
      </c>
      <c r="G101" t="s">
        <v>101</v>
      </c>
      <c r="H101" t="s">
        <v>75</v>
      </c>
      <c r="I101" t="s">
        <v>76</v>
      </c>
      <c r="J101" t="s">
        <v>102</v>
      </c>
      <c r="K101" t="s">
        <v>89</v>
      </c>
      <c r="L101" t="s">
        <v>146</v>
      </c>
      <c r="M101" t="s">
        <v>227</v>
      </c>
      <c r="N101">
        <v>1</v>
      </c>
      <c r="O101" t="s">
        <v>148</v>
      </c>
      <c r="P101" t="s">
        <v>149</v>
      </c>
      <c r="U101" t="s">
        <v>92</v>
      </c>
      <c r="V101" t="s">
        <v>66</v>
      </c>
      <c r="X101" t="s">
        <v>642</v>
      </c>
      <c r="Y101" t="s">
        <v>24</v>
      </c>
      <c r="AI101" t="s">
        <v>643</v>
      </c>
      <c r="AJ101" t="s">
        <v>644</v>
      </c>
      <c r="AK101" t="s">
        <v>130</v>
      </c>
      <c r="AL101">
        <v>1.38</v>
      </c>
      <c r="AM101">
        <v>21</v>
      </c>
      <c r="AN101" t="s">
        <v>84</v>
      </c>
      <c r="AO101" t="s">
        <v>645</v>
      </c>
      <c r="AR101">
        <v>29</v>
      </c>
      <c r="AS101">
        <v>11</v>
      </c>
      <c r="AT101">
        <v>29</v>
      </c>
      <c r="AU101">
        <v>0.66</v>
      </c>
      <c r="AV101">
        <v>0.28999999999999998</v>
      </c>
      <c r="AW101">
        <v>0.57999999999999996</v>
      </c>
      <c r="AX101">
        <v>1.53</v>
      </c>
      <c r="AY101">
        <f t="shared" si="1"/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Praveenkumar G</cp:lastModifiedBy>
  <dcterms:created xsi:type="dcterms:W3CDTF">2025-11-14T03:58:49Z</dcterms:created>
  <dcterms:modified xsi:type="dcterms:W3CDTF">2025-11-14T08:42:25Z</dcterms:modified>
</cp:coreProperties>
</file>